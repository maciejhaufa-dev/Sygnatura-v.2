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rk maszynowy" sheetId="1" state="visible" r:id="rId1"/>
    <sheet xmlns:r="http://schemas.openxmlformats.org/officeDocument/2006/relationships" name="2. Tydzien wzorcowy" sheetId="2" state="visible" r:id="rId2"/>
    <sheet xmlns:r="http://schemas.openxmlformats.org/officeDocument/2006/relationships" name="3. Przeplyw zlecenia" sheetId="3" state="visible" r:id="rId3"/>
    <sheet xmlns:r="http://schemas.openxmlformats.org/officeDocument/2006/relationships" name="4. Moce produkcyjne" sheetId="4" state="visible" r:id="rId4"/>
    <sheet xmlns:r="http://schemas.openxmlformats.org/officeDocument/2006/relationships" name="5. Nowe produk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1F3B4D"/>
      <sz val="14"/>
    </font>
    <font>
      <b val="1"/>
    </font>
    <font>
      <b val="1"/>
      <color rgb="00FFFFFF"/>
      <sz val="10.5"/>
    </font>
    <font>
      <b val="1"/>
      <color rgb="00B00020"/>
      <sz val="12"/>
    </font>
    <font>
      <sz val="10.5"/>
    </font>
    <font>
      <b val="1"/>
      <color rgb="00B00020"/>
    </font>
    <font>
      <b val="1"/>
      <color rgb="001F3B4D"/>
      <sz val="13"/>
    </font>
    <font>
      <b val="1"/>
      <sz val="13"/>
    </font>
  </fonts>
  <fills count="11">
    <fill>
      <patternFill/>
    </fill>
    <fill>
      <patternFill patternType="gray125"/>
    </fill>
    <fill>
      <patternFill patternType="solid">
        <fgColor rgb="00FFE0B2"/>
      </patternFill>
    </fill>
    <fill>
      <patternFill patternType="solid">
        <fgColor rgb="00C5E1A5"/>
      </patternFill>
    </fill>
    <fill>
      <patternFill patternType="solid">
        <fgColor rgb="00B3E5FC"/>
      </patternFill>
    </fill>
    <fill>
      <patternFill patternType="solid">
        <fgColor rgb="001F3B4D"/>
      </patternFill>
    </fill>
    <fill>
      <patternFill patternType="solid">
        <fgColor rgb="00F8BBD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9" borderId="1" pivotButton="0" quotePrefix="0" xfId="0"/>
    <xf numFmtId="0" fontId="2" fillId="0" borderId="0" pivotButton="0" quotePrefix="0" xfId="0"/>
    <xf numFmtId="164" fontId="0" fillId="0" borderId="0" pivotButton="0" quotePrefix="0" xfId="0"/>
    <xf numFmtId="164" fontId="8" fillId="8" borderId="0" pivotButton="0" quotePrefix="0" xfId="0"/>
    <xf numFmtId="0" fontId="2" fillId="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8" customWidth="1" min="4" max="4"/>
    <col width="16" customWidth="1" min="5" max="5"/>
    <col width="44" customWidth="1" min="6" max="6"/>
  </cols>
  <sheetData>
    <row r="1">
      <c r="A1" s="1" t="inlineStr">
        <is>
          <t>PARAMETRY MASZYN I LIMITY PROJEKTOWE</t>
        </is>
      </c>
    </row>
    <row r="3" ht="34" customHeight="1">
      <c r="A3" s="2" t="inlineStr">
        <is>
          <t>Maszyna</t>
        </is>
      </c>
      <c r="B3" s="2" t="inlineStr">
        <is>
          <t>Pole robocze</t>
        </is>
      </c>
      <c r="C3" s="2" t="inlineStr">
        <is>
          <t>Uzyteczne (z marginesem)</t>
        </is>
      </c>
      <c r="D3" s="2" t="inlineStr">
        <is>
          <t>Material</t>
        </is>
      </c>
      <c r="E3" s="2" t="inlineStr">
        <is>
          <t>Czas typowy</t>
        </is>
      </c>
      <c r="F3" s="2" t="inlineStr">
        <is>
          <t>Uwagi projektowe</t>
        </is>
      </c>
    </row>
    <row r="4">
      <c r="A4" s="3" t="inlineStr">
        <is>
          <t>Laser GRBL</t>
        </is>
      </c>
      <c r="B4" s="4" t="inlineStr">
        <is>
          <t>307 x 330 mm</t>
        </is>
      </c>
      <c r="C4" s="4" t="inlineStr">
        <is>
          <t>295 x 315 mm</t>
        </is>
      </c>
      <c r="D4" s="4" t="inlineStr">
        <is>
          <t>sklejka 3-6mm, HDF, plexi, filc, skora</t>
        </is>
      </c>
      <c r="E4" s="4" t="inlineStr">
        <is>
          <t>3-25 min/arkusz</t>
        </is>
      </c>
      <c r="F4" s="4" t="inlineStr">
        <is>
          <t>kerf 0.15-0.25mm; kompensacja w projekcie</t>
        </is>
      </c>
    </row>
    <row r="5">
      <c r="A5" s="5" t="inlineStr">
        <is>
          <t>Frezarka CNC</t>
        </is>
      </c>
      <c r="B5" s="4" t="inlineStr">
        <is>
          <t>307 x 330 mm</t>
        </is>
      </c>
      <c r="C5" s="4" t="inlineStr">
        <is>
          <t>290 x 310 mm</t>
        </is>
      </c>
      <c r="D5" s="4" t="inlineStr">
        <is>
          <t>pianka PE/EVA, sklejka 10-18mm, HDF, plexi</t>
        </is>
      </c>
      <c r="E5" s="4" t="inlineStr">
        <is>
          <t>20-90 min</t>
        </is>
      </c>
      <c r="F5" s="4" t="inlineStr">
        <is>
          <t>frez 3-6mm; naddatek 3mm na mocowanie</t>
        </is>
      </c>
    </row>
    <row r="6">
      <c r="A6" s="6" t="inlineStr">
        <is>
          <t>Druk 3D</t>
        </is>
      </c>
      <c r="B6" s="4" t="inlineStr">
        <is>
          <t>200 x 200 x 250 mm</t>
        </is>
      </c>
      <c r="C6" s="4" t="inlineStr">
        <is>
          <t>190 x 190 x 240 mm</t>
        </is>
      </c>
      <c r="D6" s="4" t="inlineStr">
        <is>
          <t>PLA, PETG, TPU, ASA</t>
        </is>
      </c>
      <c r="E6" s="4" t="inlineStr">
        <is>
          <t>1-14 h</t>
        </is>
      </c>
      <c r="F6" s="4" t="inlineStr">
        <is>
          <t>drukuje BEZ NADZORU - planuj na noc</t>
        </is>
      </c>
    </row>
    <row r="9">
      <c r="A9" s="7" t="inlineStr">
        <is>
          <t>ZASADA NADRZEDNA</t>
        </is>
      </c>
    </row>
    <row r="10">
      <c r="A10" s="8" t="inlineStr">
        <is>
          <t>- Druk 3D pracuje w nocy i w tle - NIGDY nie jest waskim gardlem. Planuj go jako pierwszy do uruchomienia.</t>
        </is>
      </c>
    </row>
    <row r="11">
      <c r="A11" s="8" t="inlineStr">
        <is>
          <t>- Laser wymaga obecnosci (dym, ogien, wymiana materialu) - to jest Twoje waskie gardlo. Grupuj ciecia w bloki.</t>
        </is>
      </c>
    </row>
    <row r="12">
      <c r="A12" s="8" t="inlineStr">
        <is>
          <t>- Frezarka jest glosna i dluga - rob ja w godzinach, gdy dzieci sa w przedszkolu/szkole.</t>
        </is>
      </c>
    </row>
    <row r="13">
      <c r="A13" s="8" t="inlineStr">
        <is>
          <t>- Projektant (zona) pracuje ZAWSZE o jeden krok do przodu - projektuje partie N+1, gdy maszyna tnie partie N.</t>
        </is>
      </c>
    </row>
  </sheetData>
  <mergeCells count="5">
    <mergeCell ref="A11:F11"/>
    <mergeCell ref="A10:F10"/>
    <mergeCell ref="A13:F13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28" customWidth="1" min="4" max="4"/>
    <col width="22" customWidth="1" min="5" max="5"/>
    <col width="34" customWidth="1" min="6" max="6"/>
    <col width="30" customWidth="1" min="7" max="7"/>
  </cols>
  <sheetData>
    <row r="1" ht="34" customHeight="1">
      <c r="A1" s="2" t="inlineStr">
        <is>
          <t>Dzien</t>
        </is>
      </c>
      <c r="B1" s="2" t="inlineStr">
        <is>
          <t>Pora</t>
        </is>
      </c>
      <c r="C1" s="2" t="inlineStr">
        <is>
          <t>LASER</t>
        </is>
      </c>
      <c r="D1" s="2" t="inlineStr">
        <is>
          <t>FREZARKA</t>
        </is>
      </c>
      <c r="E1" s="2" t="inlineStr">
        <is>
          <t>DRUK 3D</t>
        </is>
      </c>
      <c r="F1" s="2" t="inlineStr">
        <is>
          <t>PROJEKTANT (zona)</t>
        </is>
      </c>
      <c r="G1" s="2" t="inlineStr">
        <is>
          <t>Uwagi</t>
        </is>
      </c>
    </row>
    <row r="2">
      <c r="A2" s="4" t="inlineStr">
        <is>
          <t>PON</t>
        </is>
      </c>
      <c r="B2" s="4" t="inlineStr">
        <is>
          <t>rano</t>
        </is>
      </c>
      <c r="C2" s="4" t="inlineStr"/>
      <c r="D2" s="4" t="inlineStr"/>
      <c r="E2" s="9" t="inlineStr">
        <is>
          <t>odbior wydruku z nocy</t>
        </is>
      </c>
      <c r="F2" s="10" t="inlineStr">
        <is>
          <t>obrobka zamowien z weekendu, wyceny</t>
        </is>
      </c>
      <c r="G2" s="4" t="inlineStr">
        <is>
          <t>start tygodnia = odpowiedzi na maile</t>
        </is>
      </c>
    </row>
    <row r="3">
      <c r="A3" s="4" t="inlineStr">
        <is>
          <t>PON</t>
        </is>
      </c>
      <c r="B3" s="4" t="inlineStr">
        <is>
          <t>dzien</t>
        </is>
      </c>
      <c r="C3" s="11" t="inlineStr">
        <is>
          <t>ciecie partii A (swiateczne)</t>
        </is>
      </c>
      <c r="D3" s="4" t="inlineStr"/>
      <c r="E3" s="4" t="inlineStr"/>
      <c r="F3" s="10" t="inlineStr">
        <is>
          <t>projekt partii B</t>
        </is>
      </c>
      <c r="G3" s="4" t="inlineStr">
        <is>
          <t>laser 3-4h ciagiem</t>
        </is>
      </c>
    </row>
    <row r="4">
      <c r="A4" s="4" t="inlineStr">
        <is>
          <t>PON</t>
        </is>
      </c>
      <c r="B4" s="4" t="inlineStr">
        <is>
          <t>wieczor</t>
        </is>
      </c>
      <c r="C4" s="4" t="inlineStr"/>
      <c r="D4" s="4" t="inlineStr"/>
      <c r="E4" s="9" t="inlineStr">
        <is>
          <t>START druku na noc</t>
        </is>
      </c>
      <c r="F4" s="10" t="inlineStr">
        <is>
          <t>zdjecia gotowych sztuk</t>
        </is>
      </c>
      <c r="G4" s="4" t="inlineStr"/>
    </row>
    <row r="5">
      <c r="A5" s="4" t="inlineStr">
        <is>
          <t>WT</t>
        </is>
      </c>
      <c r="B5" s="4" t="inlineStr">
        <is>
          <t>rano</t>
        </is>
      </c>
      <c r="C5" s="4" t="inlineStr"/>
      <c r="D5" s="12" t="inlineStr">
        <is>
          <t>frezowanie wkladow piankowych</t>
        </is>
      </c>
      <c r="E5" s="9" t="inlineStr">
        <is>
          <t>odbior wydruku</t>
        </is>
      </c>
      <c r="F5" s="10" t="inlineStr">
        <is>
          <t>mailing / follow-up</t>
        </is>
      </c>
      <c r="G5" s="4" t="inlineStr">
        <is>
          <t>frezarka gdy dzieci w przedszkolu</t>
        </is>
      </c>
    </row>
    <row r="6">
      <c r="A6" s="4" t="inlineStr">
        <is>
          <t>WT</t>
        </is>
      </c>
      <c r="B6" s="4" t="inlineStr">
        <is>
          <t>dzien</t>
        </is>
      </c>
      <c r="C6" s="11" t="inlineStr">
        <is>
          <t>ciecie partii B</t>
        </is>
      </c>
      <c r="D6" s="4" t="inlineStr"/>
      <c r="E6" s="4" t="inlineStr"/>
      <c r="F6" s="10" t="inlineStr">
        <is>
          <t>projekt partii C</t>
        </is>
      </c>
      <c r="G6" s="4" t="inlineStr"/>
    </row>
    <row r="7">
      <c r="A7" s="4" t="inlineStr">
        <is>
          <t>WT</t>
        </is>
      </c>
      <c r="B7" s="4" t="inlineStr">
        <is>
          <t>wieczor</t>
        </is>
      </c>
      <c r="C7" s="4" t="inlineStr"/>
      <c r="D7" s="4" t="inlineStr"/>
      <c r="E7" s="9" t="inlineStr">
        <is>
          <t>START druku</t>
        </is>
      </c>
      <c r="F7" s="10" t="inlineStr">
        <is>
          <t>pakowanie i wysylki</t>
        </is>
      </c>
      <c r="G7" s="4" t="inlineStr"/>
    </row>
    <row r="8">
      <c r="A8" s="4" t="inlineStr">
        <is>
          <t>SR</t>
        </is>
      </c>
      <c r="B8" s="4" t="inlineStr">
        <is>
          <t>rano</t>
        </is>
      </c>
      <c r="C8" s="4" t="inlineStr"/>
      <c r="D8" s="12" t="inlineStr">
        <is>
          <t>frezowanie / obrobka</t>
        </is>
      </c>
      <c r="E8" s="9" t="inlineStr">
        <is>
          <t>odbior wydruku</t>
        </is>
      </c>
      <c r="F8" s="10" t="inlineStr">
        <is>
          <t>mailing / telefony</t>
        </is>
      </c>
      <c r="G8" s="4" t="inlineStr"/>
    </row>
    <row r="9">
      <c r="A9" s="4" t="inlineStr">
        <is>
          <t>SR</t>
        </is>
      </c>
      <c r="B9" s="4" t="inlineStr">
        <is>
          <t>dzien</t>
        </is>
      </c>
      <c r="C9" s="11" t="inlineStr">
        <is>
          <t>ciecie zamowien pilnych</t>
        </is>
      </c>
      <c r="D9" s="4" t="inlineStr"/>
      <c r="E9" s="4" t="inlineStr"/>
      <c r="F9" s="10" t="inlineStr">
        <is>
          <t>wizualizacje dla klientow</t>
        </is>
      </c>
      <c r="G9" s="4" t="inlineStr">
        <is>
          <t>bufor na pilne</t>
        </is>
      </c>
    </row>
    <row r="10">
      <c r="A10" s="4" t="inlineStr">
        <is>
          <t>SR</t>
        </is>
      </c>
      <c r="B10" s="4" t="inlineStr">
        <is>
          <t>wieczor</t>
        </is>
      </c>
      <c r="C10" s="4" t="inlineStr"/>
      <c r="D10" s="4" t="inlineStr"/>
      <c r="E10" s="9" t="inlineStr">
        <is>
          <t>START druku</t>
        </is>
      </c>
      <c r="F10" s="10" t="inlineStr">
        <is>
          <t>social media, rolki</t>
        </is>
      </c>
      <c r="G10" s="4" t="inlineStr"/>
    </row>
    <row r="11">
      <c r="A11" s="4" t="inlineStr">
        <is>
          <t>CZW</t>
        </is>
      </c>
      <c r="B11" s="4" t="inlineStr">
        <is>
          <t>rano</t>
        </is>
      </c>
      <c r="C11" s="4" t="inlineStr"/>
      <c r="D11" s="12" t="inlineStr">
        <is>
          <t>frezowanie</t>
        </is>
      </c>
      <c r="E11" s="9" t="inlineStr">
        <is>
          <t>odbior wydruku</t>
        </is>
      </c>
      <c r="F11" s="10" t="inlineStr">
        <is>
          <t>mailing / follow-up</t>
        </is>
      </c>
      <c r="G11" s="4" t="inlineStr"/>
    </row>
    <row r="12">
      <c r="A12" s="4" t="inlineStr">
        <is>
          <t>CZW</t>
        </is>
      </c>
      <c r="B12" s="4" t="inlineStr">
        <is>
          <t>dzien</t>
        </is>
      </c>
      <c r="C12" s="11" t="inlineStr">
        <is>
          <t>ciecie partii C</t>
        </is>
      </c>
      <c r="D12" s="4" t="inlineStr"/>
      <c r="E12" s="4" t="inlineStr"/>
      <c r="F12" s="10" t="inlineStr">
        <is>
          <t>projekt partii D</t>
        </is>
      </c>
      <c r="G12" s="4" t="inlineStr"/>
    </row>
    <row r="13">
      <c r="A13" s="4" t="inlineStr">
        <is>
          <t>CZW</t>
        </is>
      </c>
      <c r="B13" s="4" t="inlineStr">
        <is>
          <t>wieczor</t>
        </is>
      </c>
      <c r="C13" s="4" t="inlineStr"/>
      <c r="D13" s="4" t="inlineStr"/>
      <c r="E13" s="9" t="inlineStr">
        <is>
          <t>START druku</t>
        </is>
      </c>
      <c r="F13" s="10" t="inlineStr">
        <is>
          <t>zdjecia, opisy produktow</t>
        </is>
      </c>
      <c r="G13" s="4" t="inlineStr"/>
    </row>
    <row r="14">
      <c r="A14" s="4" t="inlineStr">
        <is>
          <t>PT</t>
        </is>
      </c>
      <c r="B14" s="4" t="inlineStr">
        <is>
          <t>rano</t>
        </is>
      </c>
      <c r="C14" s="4" t="inlineStr"/>
      <c r="D14" s="4" t="inlineStr"/>
      <c r="E14" s="9" t="inlineStr">
        <is>
          <t>odbior wydruku</t>
        </is>
      </c>
      <c r="F14" s="10" t="inlineStr">
        <is>
          <t>wysylki, kurier</t>
        </is>
      </c>
      <c r="G14" s="13" t="inlineStr">
        <is>
          <t>‼ nadanie paczek do 12:00</t>
        </is>
      </c>
    </row>
    <row r="15">
      <c r="A15" s="4" t="inlineStr">
        <is>
          <t>PT</t>
        </is>
      </c>
      <c r="B15" s="4" t="inlineStr">
        <is>
          <t>dzien</t>
        </is>
      </c>
      <c r="C15" s="11" t="inlineStr">
        <is>
          <t>ciecie uzupelniajace</t>
        </is>
      </c>
      <c r="D15" s="12" t="inlineStr">
        <is>
          <t>szlifowanie, wykonczenia</t>
        </is>
      </c>
      <c r="E15" s="4" t="inlineStr"/>
      <c r="F15" s="10" t="inlineStr">
        <is>
          <t>rozliczenia, ewidencja</t>
        </is>
      </c>
      <c r="G15" s="4" t="inlineStr">
        <is>
          <t>zamkniecie tygodnia</t>
        </is>
      </c>
    </row>
    <row r="16">
      <c r="A16" s="4" t="inlineStr">
        <is>
          <t>PT</t>
        </is>
      </c>
      <c r="B16" s="4" t="inlineStr">
        <is>
          <t>wieczor</t>
        </is>
      </c>
      <c r="C16" s="11" t="inlineStr">
        <is>
          <t>KONSERWACJA: czyszczenie optyki, pasow</t>
        </is>
      </c>
      <c r="D16" s="4" t="inlineStr"/>
      <c r="E16" s="4" t="inlineStr"/>
      <c r="F16" s="10" t="inlineStr">
        <is>
          <t>planowanie kolejnego tygodnia</t>
        </is>
      </c>
      <c r="G16" s="13" t="inlineStr">
        <is>
          <t>‼ nie pomijac</t>
        </is>
      </c>
    </row>
    <row r="17">
      <c r="A17" s="14" t="inlineStr">
        <is>
          <t>SOB</t>
        </is>
      </c>
      <c r="B17" s="4" t="inlineStr"/>
      <c r="C17" s="11" t="inlineStr">
        <is>
          <t>montaz, klejenie, bejcowanie</t>
        </is>
      </c>
      <c r="D17" s="12" t="inlineStr">
        <is>
          <t>montaz</t>
        </is>
      </c>
      <c r="E17" s="4" t="inlineStr"/>
      <c r="F17" s="10" t="inlineStr">
        <is>
          <t>obsluga zapytan (jesli trzeba)</t>
        </is>
      </c>
      <c r="G17" s="4" t="inlineStr">
        <is>
          <t>praca reczna, bez maszyn</t>
        </is>
      </c>
    </row>
    <row r="18">
      <c r="A18" s="14" t="inlineStr">
        <is>
          <t>ND</t>
        </is>
      </c>
      <c r="B18" s="4" t="inlineStr"/>
      <c r="C18" s="4" t="inlineStr"/>
      <c r="D18" s="4" t="inlineStr"/>
      <c r="E18" s="4" t="inlineStr"/>
      <c r="F18" s="10" t="inlineStr">
        <is>
          <t>WOLNE</t>
        </is>
      </c>
      <c r="G18" s="13" t="inlineStr">
        <is>
          <t>‼ obowiazkowo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32" customWidth="1" min="4" max="4"/>
    <col width="40" customWidth="1" min="5" max="5"/>
  </cols>
  <sheetData>
    <row r="1" ht="34" customHeight="1">
      <c r="A1" s="2" t="inlineStr">
        <is>
          <t>Etap</t>
        </is>
      </c>
      <c r="B1" s="2" t="inlineStr">
        <is>
          <t>Kto</t>
        </is>
      </c>
      <c r="C1" s="2" t="inlineStr">
        <is>
          <t>Czas</t>
        </is>
      </c>
      <c r="D1" s="2" t="inlineStr">
        <is>
          <t>Wyjscie</t>
        </is>
      </c>
      <c r="E1" s="2" t="inlineStr">
        <is>
          <t>Kontrola jakosci</t>
        </is>
      </c>
    </row>
    <row r="2">
      <c r="A2" s="4" t="inlineStr">
        <is>
          <t>1. Zapytanie / zamowienie</t>
        </is>
      </c>
      <c r="B2" s="10" t="inlineStr">
        <is>
          <t>zona</t>
        </is>
      </c>
      <c r="C2" s="4" t="inlineStr">
        <is>
          <t>10 min</t>
        </is>
      </c>
      <c r="D2" s="4" t="inlineStr">
        <is>
          <t>brief: ilosc, termin, logo</t>
        </is>
      </c>
      <c r="E2" s="4" t="inlineStr">
        <is>
          <t>czy jest plik wektorowy?</t>
        </is>
      </c>
    </row>
    <row r="3">
      <c r="A3" s="4" t="inlineStr">
        <is>
          <t>2. Wycena</t>
        </is>
      </c>
      <c r="B3" s="4" t="inlineStr">
        <is>
          <t>zona + Ty</t>
        </is>
      </c>
      <c r="C3" s="4" t="inlineStr">
        <is>
          <t>20 min</t>
        </is>
      </c>
      <c r="D3" s="4" t="inlineStr">
        <is>
          <t>oferta z cena i terminem</t>
        </is>
      </c>
      <c r="E3" s="4" t="inlineStr">
        <is>
          <t>czy miesci sie w mocach?</t>
        </is>
      </c>
    </row>
    <row r="4">
      <c r="A4" s="4" t="inlineStr">
        <is>
          <t>3. Wizualizacja</t>
        </is>
      </c>
      <c r="B4" s="10" t="inlineStr">
        <is>
          <t>zona</t>
        </is>
      </c>
      <c r="C4" s="4" t="inlineStr">
        <is>
          <t>20-40 min</t>
        </is>
      </c>
      <c r="D4" s="4" t="inlineStr">
        <is>
          <t>mockup w Canvie</t>
        </is>
      </c>
      <c r="E4" s="4" t="inlineStr">
        <is>
          <t>akceptacja klienta PRZED produkcja</t>
        </is>
      </c>
    </row>
    <row r="5">
      <c r="A5" s="4" t="inlineStr">
        <is>
          <t>4. Projekt techniczny</t>
        </is>
      </c>
      <c r="B5" s="4" t="inlineStr">
        <is>
          <t>zona / Ty</t>
        </is>
      </c>
      <c r="C5" s="4" t="inlineStr">
        <is>
          <t>30-90 min</t>
        </is>
      </c>
      <c r="D5" s="4" t="inlineStr">
        <is>
          <t>plik SVG/DXF w mm</t>
        </is>
      </c>
      <c r="E5" s="4" t="inlineStr">
        <is>
          <t>min. detal 2mm, kerf, wyspy</t>
        </is>
      </c>
    </row>
    <row r="6">
      <c r="A6" s="4" t="inlineStr">
        <is>
          <t>5. Test na odpadzie</t>
        </is>
      </c>
      <c r="B6" s="15" t="inlineStr">
        <is>
          <t>Ty</t>
        </is>
      </c>
      <c r="C6" s="4" t="inlineStr">
        <is>
          <t>10 min</t>
        </is>
      </c>
      <c r="D6" s="4" t="inlineStr">
        <is>
          <t>probka narozna</t>
        </is>
      </c>
      <c r="E6" s="4" t="inlineStr">
        <is>
          <t>wpusty, moc, przypalenie</t>
        </is>
      </c>
    </row>
    <row r="7">
      <c r="A7" s="4" t="inlineStr">
        <is>
          <t>6. Ciecie / frezowanie / druk</t>
        </is>
      </c>
      <c r="B7" s="11" t="inlineStr">
        <is>
          <t>maszyna</t>
        </is>
      </c>
      <c r="C7" s="4" t="inlineStr">
        <is>
          <t>zaleznie</t>
        </is>
      </c>
      <c r="D7" s="4" t="inlineStr">
        <is>
          <t>elementy</t>
        </is>
      </c>
      <c r="E7" s="4" t="inlineStr">
        <is>
          <t>liczba sztuk zgodna</t>
        </is>
      </c>
    </row>
    <row r="8">
      <c r="A8" s="4" t="inlineStr">
        <is>
          <t>7. Obrobka: szlif, przetarcie</t>
        </is>
      </c>
      <c r="B8" s="15" t="inlineStr">
        <is>
          <t>Ty</t>
        </is>
      </c>
      <c r="C8" s="4" t="inlineStr">
        <is>
          <t>5-20 min/szt</t>
        </is>
      </c>
      <c r="D8" s="4" t="inlineStr">
        <is>
          <t>elementy czyste</t>
        </is>
      </c>
      <c r="E8" s="4" t="inlineStr">
        <is>
          <t>brak sadzy, gladkie krawedzie</t>
        </is>
      </c>
    </row>
    <row r="9">
      <c r="A9" s="4" t="inlineStr">
        <is>
          <t>8. Bejcowanie / malowanie</t>
        </is>
      </c>
      <c r="B9" s="15" t="inlineStr">
        <is>
          <t>Ty</t>
        </is>
      </c>
      <c r="C9" s="4" t="inlineStr">
        <is>
          <t>dzien schniecia</t>
        </is>
      </c>
      <c r="D9" s="4" t="inlineStr">
        <is>
          <t>elementy wykonczone</t>
        </is>
      </c>
      <c r="E9" s="4" t="inlineStr">
        <is>
          <t>rownomierny kolor</t>
        </is>
      </c>
    </row>
    <row r="10">
      <c r="A10" s="4" t="inlineStr">
        <is>
          <t>9. Montaz</t>
        </is>
      </c>
      <c r="B10" s="15" t="inlineStr">
        <is>
          <t>Ty</t>
        </is>
      </c>
      <c r="C10" s="4" t="inlineStr">
        <is>
          <t>10-40 min/szt</t>
        </is>
      </c>
      <c r="D10" s="4" t="inlineStr">
        <is>
          <t>produkt gotowy</t>
        </is>
      </c>
      <c r="E10" s="4" t="inlineStr">
        <is>
          <t>test LED, stabilnosc</t>
        </is>
      </c>
    </row>
    <row r="11">
      <c r="A11" s="4" t="inlineStr">
        <is>
          <t>10. Zdjecia</t>
        </is>
      </c>
      <c r="B11" s="10" t="inlineStr">
        <is>
          <t>zona</t>
        </is>
      </c>
      <c r="C11" s="4" t="inlineStr">
        <is>
          <t>5 min/szt</t>
        </is>
      </c>
      <c r="D11" s="4" t="inlineStr">
        <is>
          <t>foto do katalogu</t>
        </is>
      </c>
      <c r="E11" s="4" t="inlineStr">
        <is>
          <t>biale tlo, ostrosc</t>
        </is>
      </c>
    </row>
    <row r="12">
      <c r="A12" s="4" t="inlineStr">
        <is>
          <t>11. Pakowanie i wysylka</t>
        </is>
      </c>
      <c r="B12" s="10" t="inlineStr">
        <is>
          <t>zona</t>
        </is>
      </c>
      <c r="C12" s="4" t="inlineStr">
        <is>
          <t>10 min</t>
        </is>
      </c>
      <c r="D12" s="4" t="inlineStr">
        <is>
          <t>paczka + rachunek</t>
        </is>
      </c>
      <c r="E12" s="4" t="inlineStr">
        <is>
          <t>‼ wpis do ewidencji</t>
        </is>
      </c>
    </row>
    <row r="14">
      <c r="A14" s="16" t="inlineStr">
        <is>
          <t>WASKIE GARDLO: etapy 5-9 to Ty. Jesli zamowien przybywa, najpierw automatyzuj etap 7 i 8 (szablony, uchwyty do bejcowania).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3" customWidth="1" min="4" max="4"/>
    <col width="30" customWidth="1" min="5" max="5"/>
    <col width="14" customWidth="1" min="6" max="6"/>
  </cols>
  <sheetData>
    <row r="1">
      <c r="A1" s="17" t="inlineStr">
        <is>
          <t>ILE REALNIE MOZESZ ZROBIC - policz przed przyjeciem zamowienia</t>
        </is>
      </c>
    </row>
    <row r="3">
      <c r="A3" t="inlineStr">
        <is>
          <t>Parametr</t>
        </is>
      </c>
      <c r="B3" t="inlineStr">
        <is>
          <t>Wartosc</t>
        </is>
      </c>
      <c r="C3" t="inlineStr">
        <is>
          <t>Jednostka</t>
        </is>
      </c>
      <c r="D3" t="inlineStr"/>
      <c r="E3" t="inlineStr">
        <is>
          <t>Wynik</t>
        </is>
      </c>
      <c r="F3" t="inlineStr"/>
    </row>
    <row r="4">
      <c r="A4" t="inlineStr">
        <is>
          <t>Godziny lasera dziennie</t>
        </is>
      </c>
      <c r="B4" s="18" t="n">
        <v>4</v>
      </c>
      <c r="C4" t="inlineStr">
        <is>
          <t>h/dzien</t>
        </is>
      </c>
      <c r="D4" t="inlineStr"/>
      <c r="E4" s="19" t="inlineStr">
        <is>
          <t>Szopek / dzien (laser)</t>
        </is>
      </c>
      <c r="F4" s="20">
        <f>B4/B8</f>
        <v/>
      </c>
    </row>
    <row r="5">
      <c r="A5" t="inlineStr">
        <is>
          <t>Godziny frezarki dziennie</t>
        </is>
      </c>
      <c r="B5" s="18" t="n">
        <v>3</v>
      </c>
      <c r="C5" t="inlineStr">
        <is>
          <t>h/dzien</t>
        </is>
      </c>
      <c r="D5" t="inlineStr"/>
      <c r="E5" s="19" t="inlineStr">
        <is>
          <t>Szopek / dzien (montaz)</t>
        </is>
      </c>
      <c r="F5" s="20">
        <f>B10/B9</f>
        <v/>
      </c>
    </row>
    <row r="6">
      <c r="A6" t="inlineStr">
        <is>
          <t>Godzin druku na dobe</t>
        </is>
      </c>
      <c r="B6" s="18" t="n">
        <v>14</v>
      </c>
      <c r="C6" t="inlineStr">
        <is>
          <t>h/dobe</t>
        </is>
      </c>
      <c r="D6" t="inlineStr"/>
      <c r="E6" s="19" t="inlineStr">
        <is>
          <t>WASKIE GARDLO</t>
        </is>
      </c>
      <c r="F6">
        <f>IF(F4&lt;F5,"LASER","MONTAZ")</f>
        <v/>
      </c>
    </row>
    <row r="7">
      <c r="A7" t="inlineStr">
        <is>
          <t>Dni roboczych w tygodniu</t>
        </is>
      </c>
      <c r="B7" s="18" t="n">
        <v>5</v>
      </c>
      <c r="C7" t="inlineStr">
        <is>
          <t>dni</t>
        </is>
      </c>
      <c r="D7" t="inlineStr"/>
      <c r="E7" s="19" t="inlineStr">
        <is>
          <t>Realnie szopek / dzien</t>
        </is>
      </c>
      <c r="F7" s="20">
        <f>MIN(F4,F5)</f>
        <v/>
      </c>
    </row>
    <row r="8">
      <c r="A8" t="inlineStr">
        <is>
          <t>Czas ciecia 1 kpl szopki</t>
        </is>
      </c>
      <c r="B8" s="18" t="n">
        <v>0.4</v>
      </c>
      <c r="C8" t="inlineStr">
        <is>
          <t>h</t>
        </is>
      </c>
      <c r="D8" t="inlineStr"/>
      <c r="E8" s="19" t="inlineStr">
        <is>
          <t>Szopek / tydzien</t>
        </is>
      </c>
      <c r="F8" s="20">
        <f>F7*B7</f>
        <v/>
      </c>
    </row>
    <row r="9">
      <c r="A9" t="inlineStr">
        <is>
          <t>Czas montazu 1 szopki</t>
        </is>
      </c>
      <c r="B9" s="18" t="n">
        <v>0.6</v>
      </c>
      <c r="C9" t="inlineStr">
        <is>
          <t>h</t>
        </is>
      </c>
      <c r="D9" t="inlineStr"/>
      <c r="E9" s="19" t="inlineStr">
        <is>
          <t>Szopek do 30.11 (14 tyg.)</t>
        </is>
      </c>
      <c r="F9" s="21">
        <f>F8*14</f>
        <v/>
      </c>
    </row>
    <row r="10">
      <c r="A10" t="inlineStr">
        <is>
          <t>Godziny montazu dziennie</t>
        </is>
      </c>
      <c r="B10" s="18" t="n">
        <v>3</v>
      </c>
      <c r="C10" t="inlineStr">
        <is>
          <t>h/dzien</t>
        </is>
      </c>
      <c r="D10" t="inlineStr"/>
      <c r="E10" t="inlineStr"/>
      <c r="F10" t="inlineStr"/>
    </row>
    <row r="11">
      <c r="E11" s="16" t="inlineStr">
        <is>
          <t>‼ NIE przyjmuj zamowien powyzej wartosci z F9 pomniejszonej o 25% zapasu.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20" customWidth="1" min="5" max="5"/>
    <col width="10" customWidth="1" min="6" max="6"/>
    <col width="28" customWidth="1" min="7" max="7"/>
    <col width="15" customWidth="1" min="8" max="8"/>
  </cols>
  <sheetData>
    <row r="1" ht="34" customHeight="1">
      <c r="A1" s="2" t="inlineStr">
        <is>
          <t>#</t>
        </is>
      </c>
      <c r="B1" s="2" t="inlineStr">
        <is>
          <t>Produkt</t>
        </is>
      </c>
      <c r="C1" s="2" t="inlineStr">
        <is>
          <t>Maszyna</t>
        </is>
      </c>
      <c r="D1" s="2" t="inlineStr">
        <is>
          <t>Koszt wejscia</t>
        </is>
      </c>
      <c r="E1" s="2" t="inlineStr">
        <is>
          <t>Czas do 1. sprzedazy</t>
        </is>
      </c>
      <c r="F1" s="2" t="inlineStr">
        <is>
          <t>Marza</t>
        </is>
      </c>
      <c r="G1" s="2" t="inlineStr">
        <is>
          <t>Rynek w PL</t>
        </is>
      </c>
      <c r="H1" s="2" t="inlineStr">
        <is>
          <t>Status</t>
        </is>
      </c>
    </row>
    <row r="2">
      <c r="A2" s="22" t="n">
        <v>1</v>
      </c>
      <c r="B2" s="22" t="inlineStr">
        <is>
          <t>Wklady piankowe do walizek</t>
        </is>
      </c>
      <c r="C2" s="5" t="inlineStr">
        <is>
          <t>frezarka</t>
        </is>
      </c>
      <c r="D2" s="22" t="inlineStr">
        <is>
          <t>150 zl</t>
        </is>
      </c>
      <c r="E2" s="22" t="inlineStr">
        <is>
          <t>2-4 tyg.</t>
        </is>
      </c>
      <c r="F2" s="22" t="inlineStr">
        <is>
          <t>★★★★★</t>
        </is>
      </c>
      <c r="G2" s="22" t="inlineStr">
        <is>
          <t>praktycznie pusty</t>
        </is>
      </c>
      <c r="H2" s="22" t="inlineStr">
        <is>
          <t>do zrobienia</t>
        </is>
      </c>
    </row>
    <row r="3">
      <c r="A3" s="22" t="n">
        <v>2</v>
      </c>
      <c r="B3" s="22" t="inlineStr">
        <is>
          <t>Stemple ceramiczne / walki</t>
        </is>
      </c>
      <c r="C3" s="6" t="inlineStr">
        <is>
          <t>druk 3D</t>
        </is>
      </c>
      <c r="D3" s="22" t="inlineStr">
        <is>
          <t>50 zl</t>
        </is>
      </c>
      <c r="E3" s="22" t="inlineStr">
        <is>
          <t>1-2 tyg.</t>
        </is>
      </c>
      <c r="F3" s="22" t="inlineStr">
        <is>
          <t>★★★★★</t>
        </is>
      </c>
      <c r="G3" s="22" t="inlineStr">
        <is>
          <t>brak, sprowadzane z Etsy</t>
        </is>
      </c>
      <c r="H3" s="22" t="inlineStr">
        <is>
          <t>do zrobienia</t>
        </is>
      </c>
    </row>
    <row r="4">
      <c r="A4" s="4" t="n">
        <v>3</v>
      </c>
      <c r="B4" s="4" t="inlineStr">
        <is>
          <t>Wklady do gier planszowych</t>
        </is>
      </c>
      <c r="C4" s="11" t="inlineStr">
        <is>
          <t>laser</t>
        </is>
      </c>
      <c r="D4" s="4" t="inlineStr">
        <is>
          <t>80 zl</t>
        </is>
      </c>
      <c r="E4" s="4" t="inlineStr">
        <is>
          <t>2-3 tyg.</t>
        </is>
      </c>
      <c r="F4" s="4" t="inlineStr">
        <is>
          <t>★★★★</t>
        </is>
      </c>
      <c r="G4" s="4" t="inlineStr">
        <is>
          <t>drogie, z zagranicy</t>
        </is>
      </c>
      <c r="H4" s="4" t="inlineStr">
        <is>
          <t>do zrobienia</t>
        </is>
      </c>
    </row>
    <row r="5">
      <c r="A5" s="4" t="n">
        <v>4</v>
      </c>
      <c r="B5" s="4" t="inlineStr">
        <is>
          <t>Mapy topograficzne warstwowe</t>
        </is>
      </c>
      <c r="C5" s="11" t="inlineStr">
        <is>
          <t>laser</t>
        </is>
      </c>
      <c r="D5" s="4" t="inlineStr">
        <is>
          <t>100 zl</t>
        </is>
      </c>
      <c r="E5" s="4" t="inlineStr">
        <is>
          <t>3-5 tyg.</t>
        </is>
      </c>
      <c r="F5" s="4" t="inlineStr">
        <is>
          <t>★★★★</t>
        </is>
      </c>
      <c r="G5" s="4" t="inlineStr">
        <is>
          <t>kilka osob, popyt &gt; podaz</t>
        </is>
      </c>
      <c r="H5" s="4" t="inlineStr">
        <is>
          <t>do zrobienia</t>
        </is>
      </c>
    </row>
    <row r="6">
      <c r="A6" s="4" t="n">
        <v>5</v>
      </c>
      <c r="B6" s="4" t="inlineStr">
        <is>
          <t>Wyposazenie dla gryzoni</t>
        </is>
      </c>
      <c r="C6" s="23" t="inlineStr">
        <is>
          <t>laser + 3D</t>
        </is>
      </c>
      <c r="D6" s="4" t="inlineStr">
        <is>
          <t>100 zl</t>
        </is>
      </c>
      <c r="E6" s="4" t="inlineStr">
        <is>
          <t>3-4 tyg.</t>
        </is>
      </c>
      <c r="F6" s="4" t="inlineStr">
        <is>
          <t>★★★</t>
        </is>
      </c>
      <c r="G6" s="4" t="inlineStr">
        <is>
          <t>slabo obsluzony</t>
        </is>
      </c>
      <c r="H6" s="4" t="inlineStr">
        <is>
          <t>rozwazyc</t>
        </is>
      </c>
    </row>
    <row r="7">
      <c r="A7" s="4" t="n">
        <v>6</v>
      </c>
      <c r="B7" s="4" t="inlineStr">
        <is>
          <t>Podstawki do figurek bitewnych</t>
        </is>
      </c>
      <c r="C7" s="23" t="inlineStr">
        <is>
          <t>laser + 3D</t>
        </is>
      </c>
      <c r="D7" s="4" t="inlineStr">
        <is>
          <t>60 zl</t>
        </is>
      </c>
      <c r="E7" s="4" t="inlineStr">
        <is>
          <t>2-4 tyg.</t>
        </is>
      </c>
      <c r="F7" s="4" t="inlineStr">
        <is>
          <t>★★★</t>
        </is>
      </c>
      <c r="G7" s="4" t="inlineStr">
        <is>
          <t>lojalny, seryjny</t>
        </is>
      </c>
      <c r="H7" s="4" t="inlineStr">
        <is>
          <t>rozwazyc</t>
        </is>
      </c>
    </row>
    <row r="8">
      <c r="A8" s="4" t="n">
        <v>7</v>
      </c>
      <c r="B8" s="4" t="inlineStr">
        <is>
          <t>Makiety architektoniczne</t>
        </is>
      </c>
      <c r="C8" s="23" t="inlineStr">
        <is>
          <t>laser + 3D</t>
        </is>
      </c>
      <c r="D8" s="4" t="inlineStr">
        <is>
          <t>0 zl</t>
        </is>
      </c>
      <c r="E8" s="4" t="inlineStr">
        <is>
          <t>6-12 tyg.</t>
        </is>
      </c>
      <c r="F8" s="4" t="inlineStr">
        <is>
          <t>★★★★★</t>
        </is>
      </c>
      <c r="G8" s="4" t="inlineStr">
        <is>
          <t>malo kto robi</t>
        </is>
      </c>
      <c r="H8" s="4" t="inlineStr">
        <is>
          <t>pozniej</t>
        </is>
      </c>
    </row>
    <row r="9">
      <c r="A9" s="4" t="n">
        <v>8</v>
      </c>
      <c r="B9" s="4" t="inlineStr">
        <is>
          <t>Tablice manipulacyjne</t>
        </is>
      </c>
      <c r="C9" s="23" t="inlineStr">
        <is>
          <t>laser + 3D</t>
        </is>
      </c>
      <c r="D9" s="4" t="inlineStr">
        <is>
          <t>80 zl</t>
        </is>
      </c>
      <c r="E9" s="4" t="inlineStr">
        <is>
          <t>3-5 tyg.</t>
        </is>
      </c>
      <c r="F9" s="4" t="inlineStr">
        <is>
          <t>★★★</t>
        </is>
      </c>
      <c r="G9" s="4" t="inlineStr">
        <is>
          <t>‼ wymaga atestu</t>
        </is>
      </c>
      <c r="H9" s="4" t="inlineStr">
        <is>
          <t>pozniej</t>
        </is>
      </c>
    </row>
    <row r="11">
      <c r="B11" s="16" t="inlineStr">
        <is>
          <t>REKOMENDACJA: wybierz 2 pozycje (sugeruje #1 i #2) i nic wiecej do konca roku. Swiateczne leca rownolegle jako sezon.</t>
        </is>
      </c>
    </row>
  </sheetData>
  <dataValidations count="1">
    <dataValidation sqref="H2 H3 H4 H5 H6 H7 H8 H9" showDropDown="0" showInputMessage="0" showErrorMessage="0" allowBlank="1" type="list">
      <formula1>"do zrobienia,w trakcie,gotowe,rozwazyc,pozniej,odrzucone"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2026-08-26T10:52:40Z</dcterms:created>
  <dcterms:modified xmlns:dcterms="http://purl.org/dc/terms/" xmlns:xsi="http://www.w3.org/2001/XMLSchema-instance" xsi:type="dcterms:W3CDTF">2026-08-26T10:52:40Z</dcterms:modified>
</cp:coreProperties>
</file>