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Kalkulator ceny" sheetId="1" state="visible" r:id="rId1"/>
    <sheet xmlns:r="http://schemas.openxmlformats.org/officeDocument/2006/relationships" name="2. Wynajem - asortyment" sheetId="2" state="visible" r:id="rId2"/>
    <sheet xmlns:r="http://schemas.openxmlformats.org/officeDocument/2006/relationships" name="3. Sprzedaż - wedding" sheetId="3" state="visible" r:id="rId3"/>
    <sheet xmlns:r="http://schemas.openxmlformats.org/officeDocument/2006/relationships" name="4. B2B - firmy" sheetId="4" state="visible" r:id="rId4"/>
    <sheet xmlns:r="http://schemas.openxmlformats.org/officeDocument/2006/relationships" name="5. Ewidencja - żona" sheetId="5" state="visible" r:id="rId5"/>
    <sheet xmlns:r="http://schemas.openxmlformats.org/officeDocument/2006/relationships" name="6. Ewidencja - mąż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zł&quot;"/>
  </numFmts>
  <fonts count="11">
    <font>
      <name val="Calibri"/>
      <family val="2"/>
      <color theme="1"/>
      <sz val="11"/>
      <scheme val="minor"/>
    </font>
    <font>
      <b val="1"/>
      <color rgb="001F3B4D"/>
      <sz val="14"/>
    </font>
    <font>
      <b val="1"/>
      <color rgb="001F3B4D"/>
      <sz val="10"/>
    </font>
    <font>
      <b val="1"/>
      <sz val="11"/>
    </font>
    <font>
      <b val="1"/>
      <color rgb="001F3B4D"/>
      <sz val="12"/>
    </font>
    <font>
      <i val="1"/>
      <color rgb="00B00020"/>
    </font>
    <font>
      <b val="1"/>
    </font>
    <font>
      <i val="1"/>
    </font>
    <font>
      <b val="1"/>
      <color rgb="00FFFFFF"/>
      <sz val="11"/>
    </font>
    <font>
      <b val="1"/>
      <color rgb="00B00020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D9E2EC"/>
      </patternFill>
    </fill>
    <fill>
      <patternFill patternType="solid">
        <fgColor rgb="00FFF3B0"/>
      </patternFill>
    </fill>
    <fill>
      <patternFill patternType="solid">
        <fgColor rgb="00C8E6C9"/>
      </patternFill>
    </fill>
    <fill>
      <patternFill patternType="solid">
        <fgColor rgb="001F3B4D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0" fillId="3" borderId="1" pivotButton="0" quotePrefix="0" xfId="0"/>
    <xf numFmtId="164" fontId="0" fillId="0" borderId="0" pivotButton="0" quotePrefix="0" xfId="0"/>
    <xf numFmtId="0" fontId="3" fillId="0" borderId="0" pivotButton="0" quotePrefix="0" xfId="0"/>
    <xf numFmtId="164" fontId="4" fillId="0" borderId="0" pivotButton="0" quotePrefix="0" xfId="0"/>
    <xf numFmtId="164" fontId="4" fillId="4" borderId="0" pivotButton="0" quotePrefix="0" xfId="0"/>
    <xf numFmtId="0" fontId="5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9" fontId="0" fillId="0" borderId="0" pivotButton="0" quotePrefix="0" xfId="0"/>
    <xf numFmtId="0" fontId="0" fillId="6" borderId="0" pivotButton="0" quotePrefix="0" xfId="0"/>
    <xf numFmtId="164" fontId="0" fillId="6" borderId="0" pivotButton="0" quotePrefix="0" xfId="0"/>
    <xf numFmtId="0" fontId="9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164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2" customWidth="1" min="3" max="3"/>
    <col width="3" customWidth="1" min="4" max="4"/>
    <col width="52" customWidth="1" min="5" max="5"/>
  </cols>
  <sheetData>
    <row r="1">
      <c r="A1" s="1" t="inlineStr">
        <is>
          <t>KALKULATOR CENY PRODUKTU — wpisuj tylko żółte pola</t>
        </is>
      </c>
    </row>
    <row r="2">
      <c r="A2" t="inlineStr"/>
      <c r="B2" t="inlineStr"/>
      <c r="C2" t="inlineStr"/>
      <c r="D2" t="inlineStr"/>
      <c r="E2" t="inlineStr"/>
    </row>
    <row r="3">
      <c r="A3" s="2" t="inlineStr">
        <is>
          <t>ZAŁOŻENIA STAŁE</t>
        </is>
      </c>
      <c r="B3" t="inlineStr">
        <is>
          <t>wartość</t>
        </is>
      </c>
      <c r="C3" t="inlineStr">
        <is>
          <t>jednostka</t>
        </is>
      </c>
      <c r="D3" t="inlineStr"/>
      <c r="E3" t="inlineStr">
        <is>
          <t>komentarz</t>
        </is>
      </c>
    </row>
    <row r="4">
      <c r="A4" s="3" t="inlineStr">
        <is>
          <t>Stawka Twojej pracy (produkcja)</t>
        </is>
      </c>
      <c r="B4" s="4" t="n">
        <v>60</v>
      </c>
      <c r="C4" t="inlineStr">
        <is>
          <t>zł/h</t>
        </is>
      </c>
      <c r="D4" t="inlineStr"/>
      <c r="E4" t="inlineStr">
        <is>
          <t>realna wycena Twojego czasu przy maszynie</t>
        </is>
      </c>
    </row>
    <row r="5">
      <c r="A5" s="3" t="inlineStr">
        <is>
          <t>Stawka pracy żony (projekt/obsługa)</t>
        </is>
      </c>
      <c r="B5" s="4" t="n">
        <v>50</v>
      </c>
      <c r="C5" t="inlineStr">
        <is>
          <t>zł/h</t>
        </is>
      </c>
      <c r="D5" t="inlineStr"/>
      <c r="E5" t="inlineStr">
        <is>
          <t>projekt, kontakt z klientem, zdjęcia</t>
        </is>
      </c>
    </row>
    <row r="6">
      <c r="A6" s="3" t="inlineStr">
        <is>
          <t>Koszt pracy maszyny (prąd, zużycie, serwis)</t>
        </is>
      </c>
      <c r="B6" s="4" t="n">
        <v>25</v>
      </c>
      <c r="C6" t="inlineStr">
        <is>
          <t>zł/h</t>
        </is>
      </c>
      <c r="D6" t="inlineStr"/>
      <c r="E6" t="inlineStr">
        <is>
          <t>amortyzacja lasera/frezarki</t>
        </is>
      </c>
    </row>
    <row r="7">
      <c r="A7" t="inlineStr">
        <is>
          <t>Mnożnik marży</t>
        </is>
      </c>
      <c r="B7" s="4" t="n">
        <v>2.6</v>
      </c>
      <c r="C7" t="inlineStr">
        <is>
          <t>x</t>
        </is>
      </c>
      <c r="D7" t="inlineStr"/>
      <c r="E7" t="inlineStr">
        <is>
          <t>2,5–3,0 dla personalizacji</t>
        </is>
      </c>
    </row>
    <row r="8">
      <c r="A8" t="inlineStr"/>
      <c r="B8" t="inlineStr"/>
      <c r="C8" t="inlineStr"/>
      <c r="D8" t="inlineStr"/>
      <c r="E8" t="inlineStr"/>
    </row>
    <row r="9">
      <c r="A9" s="2" t="inlineStr">
        <is>
          <t>KALKULACJA POJEDYNCZEJ SZTUKI</t>
        </is>
      </c>
      <c r="B9" t="inlineStr"/>
      <c r="C9" t="inlineStr"/>
      <c r="D9" t="inlineStr"/>
      <c r="E9" t="inlineStr"/>
    </row>
    <row r="10">
      <c r="A10" t="inlineStr">
        <is>
          <t>Materiał (sklejka/plexi/HDF)</t>
        </is>
      </c>
      <c r="B10" s="4" t="n">
        <v>18</v>
      </c>
      <c r="C10" t="inlineStr">
        <is>
          <t>zł</t>
        </is>
      </c>
      <c r="D10" t="inlineStr"/>
      <c r="E10" t="inlineStr">
        <is>
          <t>realny koszt zużytego materiału</t>
        </is>
      </c>
    </row>
    <row r="11">
      <c r="A11" t="inlineStr">
        <is>
          <t>Materiały dodatkowe (farba, klej, LED, opakowanie)</t>
        </is>
      </c>
      <c r="B11" s="4" t="n">
        <v>7</v>
      </c>
      <c r="C11" t="inlineStr">
        <is>
          <t>zł</t>
        </is>
      </c>
      <c r="D11" t="inlineStr"/>
      <c r="E11" t="inlineStr"/>
    </row>
    <row r="12">
      <c r="A12" t="inlineStr">
        <is>
          <t>Czas projektu (jednorazowy, na wzór)</t>
        </is>
      </c>
      <c r="B12" s="4" t="n">
        <v>0.5</v>
      </c>
      <c r="C12" t="inlineStr">
        <is>
          <t>h</t>
        </is>
      </c>
      <c r="D12" t="inlineStr"/>
      <c r="E12" t="inlineStr">
        <is>
          <t>rozłóż na serię — patrz niżej</t>
        </is>
      </c>
    </row>
    <row r="13">
      <c r="A13" t="inlineStr">
        <is>
          <t>Czas produkcji na 1 szt.</t>
        </is>
      </c>
      <c r="B13" s="4" t="n">
        <v>0.6</v>
      </c>
      <c r="C13" t="inlineStr">
        <is>
          <t>h</t>
        </is>
      </c>
      <c r="D13" t="inlineStr"/>
      <c r="E13" t="inlineStr"/>
    </row>
    <row r="14">
      <c r="A14" t="inlineStr">
        <is>
          <t>Czas maszyny na 1 szt.</t>
        </is>
      </c>
      <c r="B14" s="4" t="n">
        <v>0.4</v>
      </c>
      <c r="C14" t="inlineStr">
        <is>
          <t>h</t>
        </is>
      </c>
      <c r="D14" t="inlineStr"/>
      <c r="E14" t="inlineStr"/>
    </row>
    <row r="15">
      <c r="A15" t="inlineStr">
        <is>
          <t>Wielkość serii</t>
        </is>
      </c>
      <c r="B15" s="4" t="n">
        <v>1</v>
      </c>
      <c r="C15" t="inlineStr">
        <is>
          <t>szt.</t>
        </is>
      </c>
      <c r="D15" t="inlineStr"/>
      <c r="E15" t="inlineStr">
        <is>
          <t>przy większej serii projekt się rozkłada</t>
        </is>
      </c>
    </row>
    <row r="17">
      <c r="A17" s="2" t="inlineStr">
        <is>
          <t>WYNIK</t>
        </is>
      </c>
    </row>
    <row r="18">
      <c r="A18" t="inlineStr">
        <is>
          <t>Koszt materiału razem</t>
        </is>
      </c>
      <c r="B18" s="5">
        <f>B10+B11</f>
        <v/>
      </c>
    </row>
    <row r="19">
      <c r="A19" t="inlineStr">
        <is>
          <t>Koszt projektu na sztukę</t>
        </is>
      </c>
      <c r="B19" s="5">
        <f>(B12*B5)/B15</f>
        <v/>
      </c>
    </row>
    <row r="20">
      <c r="A20" t="inlineStr">
        <is>
          <t>Koszt produkcji (Twoja praca)</t>
        </is>
      </c>
      <c r="B20" s="5">
        <f>B13*B4</f>
        <v/>
      </c>
    </row>
    <row r="21">
      <c r="A21" t="inlineStr">
        <is>
          <t>Koszt maszyny</t>
        </is>
      </c>
      <c r="B21" s="5">
        <f>B14*B6</f>
        <v/>
      </c>
    </row>
    <row r="22">
      <c r="A22" s="6" t="inlineStr">
        <is>
          <t>KOSZT WŁASNY 1 SZT.</t>
        </is>
      </c>
      <c r="B22" s="7">
        <f>B18+B19+B20+B21</f>
        <v/>
      </c>
    </row>
    <row r="23">
      <c r="A23" s="6" t="inlineStr">
        <is>
          <t>CENA SPRZEDAŻY (netto = brutto, bez VAT)</t>
        </is>
      </c>
      <c r="B23" s="8">
        <f>B22*B7</f>
        <v/>
      </c>
    </row>
    <row r="24">
      <c r="A24" t="inlineStr">
        <is>
          <t>ZYSK na sztuce</t>
        </is>
      </c>
      <c r="B24" s="5">
        <f>B23-B22</f>
        <v/>
      </c>
    </row>
    <row r="25">
      <c r="A25" t="inlineStr">
        <is>
          <t>Zysk na całej serii</t>
        </is>
      </c>
      <c r="B25" s="5">
        <f>B24*B15</f>
        <v/>
      </c>
    </row>
    <row r="26">
      <c r="D26" s="9" t="inlineStr">
        <is>
          <t>ZASADA: cenę zaokrąglaj W GÓRĘ do pełnych 10 zł. Nigdy nie schodź poniżej kosztu własnego x2.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34" customWidth="1" min="3" max="3"/>
    <col width="16" customWidth="1" min="4" max="4"/>
    <col width="14" customWidth="1" min="5" max="5"/>
    <col width="18" customWidth="1" min="6" max="6"/>
    <col width="20" customWidth="1" min="7" max="7"/>
    <col width="10" customWidth="1" min="8" max="8"/>
    <col width="14" customWidth="1" min="9" max="9"/>
    <col width="18" customWidth="1" min="10" max="10"/>
    <col width="16" customWidth="1" min="11" max="11"/>
  </cols>
  <sheetData>
    <row r="1" ht="34" customHeight="1">
      <c r="A1" s="10" t="inlineStr">
        <is>
          <t>Lp.</t>
        </is>
      </c>
      <c r="B1" s="10" t="inlineStr">
        <is>
          <t>Produkt</t>
        </is>
      </c>
      <c r="C1" s="10" t="inlineStr">
        <is>
          <t>Baza / insert</t>
        </is>
      </c>
      <c r="D1" s="10" t="inlineStr">
        <is>
          <t>Materiał (koszt bazy)</t>
        </is>
      </c>
      <c r="E1" s="10" t="inlineStr">
        <is>
          <t>Koszt insertu</t>
        </is>
      </c>
      <c r="F1" s="10" t="inlineStr">
        <is>
          <t>Cena WYNAJMU (klient)</t>
        </is>
      </c>
      <c r="G1" s="10" t="inlineStr">
        <is>
          <t>Cena dla dekoratorki (-40%)</t>
        </is>
      </c>
      <c r="H1" s="10" t="inlineStr">
        <is>
          <t>Kaucja</t>
        </is>
      </c>
      <c r="I1" s="10" t="inlineStr">
        <is>
          <t>Wynajmy/sezon (zał.)</t>
        </is>
      </c>
      <c r="J1" s="10" t="inlineStr">
        <is>
          <t>Przychód roczny (szac.)</t>
        </is>
      </c>
      <c r="K1" s="10" t="inlineStr">
        <is>
          <t>Zwrot po ilu wynajmach</t>
        </is>
      </c>
    </row>
    <row r="2">
      <c r="A2" t="n">
        <v>1</v>
      </c>
      <c r="B2" t="inlineStr">
        <is>
          <t>Tablica powitalna 60x80 + stojak</t>
        </is>
      </c>
      <c r="C2" t="inlineStr">
        <is>
          <t>baza wielorazowa + wymienny insert</t>
        </is>
      </c>
      <c r="D2" s="5" t="n">
        <v>70</v>
      </c>
      <c r="E2" s="5" t="n">
        <v>25</v>
      </c>
      <c r="F2" s="5" t="n">
        <v>150</v>
      </c>
      <c r="G2" s="5" t="n">
        <v>90</v>
      </c>
      <c r="H2" s="5" t="n">
        <v>200</v>
      </c>
      <c r="I2" t="n">
        <v>18</v>
      </c>
      <c r="J2" s="5">
        <f>F2*I2</f>
        <v/>
      </c>
      <c r="K2">
        <f>ROUNDUP(D2/F2,0)</f>
        <v/>
      </c>
    </row>
    <row r="3">
      <c r="A3" t="n">
        <v>2</v>
      </c>
      <c r="B3" t="inlineStr">
        <is>
          <t>Konstrukcja planu stołów + panele</t>
        </is>
      </c>
      <c r="C3" t="inlineStr">
        <is>
          <t>baza + wymienne panele</t>
        </is>
      </c>
      <c r="D3" s="5" t="n">
        <v>90</v>
      </c>
      <c r="E3" s="5" t="n">
        <v>30</v>
      </c>
      <c r="F3" s="5" t="n">
        <v>200</v>
      </c>
      <c r="G3" s="5" t="n">
        <v>120</v>
      </c>
      <c r="H3" s="5" t="n">
        <v>250</v>
      </c>
      <c r="I3" t="n">
        <v>15</v>
      </c>
      <c r="J3" s="5">
        <f>F3*I3</f>
        <v/>
      </c>
      <c r="K3">
        <f>ROUNDUP(D3/F3,0)</f>
        <v/>
      </c>
    </row>
    <row r="4">
      <c r="A4" t="n">
        <v>3</v>
      </c>
      <c r="B4" t="inlineStr">
        <is>
          <t>Numery stołów, komplet 15 szt.</t>
        </is>
      </c>
      <c r="C4" t="inlineStr">
        <is>
          <t>w 100% wielorazowe</t>
        </is>
      </c>
      <c r="D4" s="5" t="n">
        <v>80</v>
      </c>
      <c r="E4" s="5" t="n">
        <v>0</v>
      </c>
      <c r="F4" s="5" t="n">
        <v>120</v>
      </c>
      <c r="G4" s="5" t="n">
        <v>72</v>
      </c>
      <c r="H4" s="5" t="n">
        <v>150</v>
      </c>
      <c r="I4" t="n">
        <v>20</v>
      </c>
      <c r="J4" s="5">
        <f>F4*I4</f>
        <v/>
      </c>
      <c r="K4">
        <f>ROUNDUP(D4/F4,0)</f>
        <v/>
      </c>
    </row>
    <row r="5">
      <c r="A5" t="n">
        <v>4</v>
      </c>
      <c r="B5" t="inlineStr">
        <is>
          <t>Rama / arch dekoracyjny (koło 1,5 m)</t>
        </is>
      </c>
      <c r="C5" t="inlineStr">
        <is>
          <t>w 100% wielorazowe</t>
        </is>
      </c>
      <c r="D5" s="5" t="n">
        <v>150</v>
      </c>
      <c r="E5" s="5" t="n">
        <v>0</v>
      </c>
      <c r="F5" s="5" t="n">
        <v>280</v>
      </c>
      <c r="G5" s="5" t="n">
        <v>168</v>
      </c>
      <c r="H5" s="5" t="n">
        <v>300</v>
      </c>
      <c r="I5" t="n">
        <v>14</v>
      </c>
      <c r="J5" s="5">
        <f>F5*I5</f>
        <v/>
      </c>
      <c r="K5">
        <f>ROUNDUP(D5/F5,0)</f>
        <v/>
      </c>
    </row>
    <row r="6">
      <c r="A6" t="n">
        <v>5</v>
      </c>
      <c r="B6" t="inlineStr">
        <is>
          <t>Napis przestrzenny 'Miłość' / inicjały</t>
        </is>
      </c>
      <c r="C6" t="inlineStr">
        <is>
          <t>baza + wymienne inicjały</t>
        </is>
      </c>
      <c r="D6" s="5" t="n">
        <v>60</v>
      </c>
      <c r="E6" s="5" t="n">
        <v>20</v>
      </c>
      <c r="F6" s="5" t="n">
        <v>120</v>
      </c>
      <c r="G6" s="5" t="n">
        <v>72</v>
      </c>
      <c r="H6" s="5" t="n">
        <v>150</v>
      </c>
      <c r="I6" t="n">
        <v>16</v>
      </c>
      <c r="J6" s="5">
        <f>F6*I6</f>
        <v/>
      </c>
      <c r="K6">
        <f>ROUNDUP(D6/F6,0)</f>
        <v/>
      </c>
    </row>
    <row r="7">
      <c r="A7" t="n">
        <v>6</v>
      </c>
      <c r="B7" t="inlineStr">
        <is>
          <t>Ścianka / tło pod foto</t>
        </is>
      </c>
      <c r="C7" t="inlineStr">
        <is>
          <t>w 100% wielorazowe</t>
        </is>
      </c>
      <c r="D7" s="5" t="n">
        <v>120</v>
      </c>
      <c r="E7" s="5" t="n">
        <v>0</v>
      </c>
      <c r="F7" s="5" t="n">
        <v>220</v>
      </c>
      <c r="G7" s="5" t="n">
        <v>132</v>
      </c>
      <c r="H7" s="5" t="n">
        <v>250</v>
      </c>
      <c r="I7" t="n">
        <v>12</v>
      </c>
      <c r="J7" s="5">
        <f>F7*I7</f>
        <v/>
      </c>
      <c r="K7">
        <f>ROUNDUP(D7/F7,0)</f>
        <v/>
      </c>
    </row>
    <row r="8">
      <c r="A8" t="n">
        <v>7</v>
      </c>
      <c r="B8" t="inlineStr">
        <is>
          <t>Skrzynka na koperty z personalizacją</t>
        </is>
      </c>
      <c r="C8" t="inlineStr">
        <is>
          <t>baza + wymienna tabliczka</t>
        </is>
      </c>
      <c r="D8" s="5" t="n">
        <v>45</v>
      </c>
      <c r="E8" s="5" t="n">
        <v>15</v>
      </c>
      <c r="F8" s="5" t="n">
        <v>90</v>
      </c>
      <c r="G8" s="5" t="n">
        <v>54</v>
      </c>
      <c r="H8" s="5" t="n">
        <v>120</v>
      </c>
      <c r="I8" t="n">
        <v>18</v>
      </c>
      <c r="J8" s="5">
        <f>F8*I8</f>
        <v/>
      </c>
      <c r="K8">
        <f>ROUNDUP(D8/F8,0)</f>
        <v/>
      </c>
    </row>
    <row r="9">
      <c r="A9" t="n">
        <v>8</v>
      </c>
      <c r="B9" t="inlineStr">
        <is>
          <t>Stojak na plan / menu (para)</t>
        </is>
      </c>
      <c r="C9" t="inlineStr">
        <is>
          <t>w 100% wielorazowe</t>
        </is>
      </c>
      <c r="D9" s="5" t="n">
        <v>50</v>
      </c>
      <c r="E9" s="5" t="n">
        <v>0</v>
      </c>
      <c r="F9" s="5" t="n">
        <v>80</v>
      </c>
      <c r="G9" s="5" t="n">
        <v>48</v>
      </c>
      <c r="H9" s="5" t="n">
        <v>100</v>
      </c>
      <c r="I9" t="n">
        <v>14</v>
      </c>
      <c r="J9" s="5">
        <f>F9*I9</f>
        <v/>
      </c>
      <c r="K9">
        <f>ROUNDUP(D9/F9,0)</f>
        <v/>
      </c>
    </row>
    <row r="10">
      <c r="B10" s="11" t="inlineStr">
        <is>
          <t>RAZEM</t>
        </is>
      </c>
      <c r="D10" s="8">
        <f>SUM(D2:D9)</f>
        <v/>
      </c>
      <c r="J10" s="8">
        <f>SUM(J2:J9)</f>
        <v/>
      </c>
    </row>
    <row r="12">
      <c r="B12" s="12" t="inlineStr">
        <is>
          <t>Kolumna K = po ilu wynajmach sztuka zwraca koszt materiału. Wszystko poniżej 3 to bardzo dobra inwestycja.</t>
        </is>
      </c>
    </row>
    <row r="13">
      <c r="B13" s="9" t="inlineStr">
        <is>
          <t>UWAGA: przychód roczny to szacunek przy pełnym sezonie i współpracy z 2-3 dekoratorkami. Na pierwszy sezon dziel przez 3.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4" customWidth="1" min="4" max="4"/>
    <col width="16" customWidth="1" min="5" max="5"/>
    <col width="12" customWidth="1" min="6" max="6"/>
    <col width="10" customWidth="1" min="7" max="7"/>
    <col width="16" customWidth="1" min="8" max="8"/>
    <col width="42" customWidth="1" min="9" max="9"/>
  </cols>
  <sheetData>
    <row r="1" ht="34" customHeight="1">
      <c r="A1" s="10" t="inlineStr">
        <is>
          <t>Lp.</t>
        </is>
      </c>
      <c r="B1" s="10" t="inlineStr">
        <is>
          <t>Produkt</t>
        </is>
      </c>
      <c r="C1" s="10" t="inlineStr">
        <is>
          <t>Materiał</t>
        </is>
      </c>
      <c r="D1" s="10" t="inlineStr">
        <is>
          <t>Koszt własny</t>
        </is>
      </c>
      <c r="E1" s="10" t="inlineStr">
        <is>
          <t>Cena sprzedaży</t>
        </is>
      </c>
      <c r="F1" s="10" t="inlineStr">
        <is>
          <t>Marża zł</t>
        </is>
      </c>
      <c r="G1" s="10" t="inlineStr">
        <is>
          <t>Marża %</t>
        </is>
      </c>
      <c r="H1" s="10" t="inlineStr">
        <is>
          <t>Czas wykonania</t>
        </is>
      </c>
      <c r="I1" s="10" t="inlineStr">
        <is>
          <t>Uwagi</t>
        </is>
      </c>
    </row>
    <row r="2">
      <c r="A2" t="n">
        <v>1</v>
      </c>
      <c r="B2" t="inlineStr">
        <is>
          <t>Winietki / zawieszki dla gości (1 szt.)</t>
        </is>
      </c>
      <c r="C2" t="inlineStr">
        <is>
          <t>sklejka 3mm</t>
        </is>
      </c>
      <c r="D2" s="5" t="n">
        <v>1.8</v>
      </c>
      <c r="E2" s="5" t="n">
        <v>7</v>
      </c>
      <c r="F2" s="5">
        <f>E2-D2</f>
        <v/>
      </c>
      <c r="G2" s="13">
        <f>(E2-D2)/D2</f>
        <v/>
      </c>
      <c r="H2" t="inlineStr">
        <is>
          <t>3 min</t>
        </is>
      </c>
      <c r="I2" t="inlineStr">
        <is>
          <t>min. 40 szt., sprzedaż tylko w komplecie</t>
        </is>
      </c>
    </row>
    <row r="3">
      <c r="A3" t="n">
        <v>2</v>
      </c>
      <c r="B3" t="inlineStr">
        <is>
          <t>Podziękowania dla gości - magnes</t>
        </is>
      </c>
      <c r="C3" t="inlineStr">
        <is>
          <t>sklejka + magnes</t>
        </is>
      </c>
      <c r="D3" s="5" t="n">
        <v>3.5</v>
      </c>
      <c r="E3" s="5" t="n">
        <v>12</v>
      </c>
      <c r="F3" s="5">
        <f>E3-D3</f>
        <v/>
      </c>
      <c r="G3" s="13">
        <f>(E3-D3)/D3</f>
        <v/>
      </c>
      <c r="H3" t="inlineStr">
        <is>
          <t>5 min</t>
        </is>
      </c>
      <c r="I3" t="inlineStr">
        <is>
          <t>hit, zamawiane w setkach</t>
        </is>
      </c>
    </row>
    <row r="4">
      <c r="A4" t="n">
        <v>3</v>
      </c>
      <c r="B4" t="inlineStr">
        <is>
          <t>Toppery na tort</t>
        </is>
      </c>
      <c r="C4" t="inlineStr">
        <is>
          <t>plexi/sklejka</t>
        </is>
      </c>
      <c r="D4" s="5" t="n">
        <v>6</v>
      </c>
      <c r="E4" s="5" t="n">
        <v>45</v>
      </c>
      <c r="F4" s="5">
        <f>E4-D4</f>
        <v/>
      </c>
      <c r="G4" s="13">
        <f>(E4-D4)/D4</f>
        <v/>
      </c>
      <c r="H4" t="inlineStr">
        <is>
          <t>20 min</t>
        </is>
      </c>
      <c r="I4" t="inlineStr">
        <is>
          <t>wysoka marża</t>
        </is>
      </c>
    </row>
    <row r="5">
      <c r="A5" t="n">
        <v>4</v>
      </c>
      <c r="B5" t="inlineStr">
        <is>
          <t>Ramka na obrączki</t>
        </is>
      </c>
      <c r="C5" t="inlineStr">
        <is>
          <t>drewno</t>
        </is>
      </c>
      <c r="D5" s="5" t="n">
        <v>22</v>
      </c>
      <c r="E5" s="5" t="n">
        <v>95</v>
      </c>
      <c r="F5" s="5">
        <f>E5-D5</f>
        <v/>
      </c>
      <c r="G5" s="13">
        <f>(E5-D5)/D5</f>
        <v/>
      </c>
      <c r="H5" t="inlineStr">
        <is>
          <t>45 min</t>
        </is>
      </c>
      <c r="I5" t="inlineStr"/>
    </row>
    <row r="6">
      <c r="A6" t="n">
        <v>5</v>
      </c>
      <c r="B6" t="inlineStr">
        <is>
          <t>Tabliczka 'Tu siedzi Państwo Młodzi'</t>
        </is>
      </c>
      <c r="C6" t="inlineStr">
        <is>
          <t>sklejka + grawer</t>
        </is>
      </c>
      <c r="D6" s="5" t="n">
        <v>14</v>
      </c>
      <c r="E6" s="5" t="n">
        <v>70</v>
      </c>
      <c r="F6" s="5">
        <f>E6-D6</f>
        <v/>
      </c>
      <c r="G6" s="13">
        <f>(E6-D6)/D6</f>
        <v/>
      </c>
      <c r="H6" t="inlineStr">
        <is>
          <t>25 min</t>
        </is>
      </c>
      <c r="I6" t="inlineStr"/>
    </row>
    <row r="7">
      <c r="A7" t="n">
        <v>6</v>
      </c>
      <c r="B7" t="inlineStr">
        <is>
          <t>Zawieszka na alkohol / butelkę</t>
        </is>
      </c>
      <c r="C7" t="inlineStr">
        <is>
          <t>sklejka 3mm</t>
        </is>
      </c>
      <c r="D7" s="5" t="n">
        <v>2.2</v>
      </c>
      <c r="E7" s="5" t="n">
        <v>9</v>
      </c>
      <c r="F7" s="5">
        <f>E7-D7</f>
        <v/>
      </c>
      <c r="G7" s="13">
        <f>(E7-D7)/D7</f>
        <v/>
      </c>
      <c r="H7" t="inlineStr">
        <is>
          <t>4 min</t>
        </is>
      </c>
      <c r="I7" t="inlineStr">
        <is>
          <t>dosprzedaż do winietek</t>
        </is>
      </c>
    </row>
    <row r="8">
      <c r="A8" t="n">
        <v>7</v>
      </c>
      <c r="B8" t="inlineStr">
        <is>
          <t>Pudełko na koperty personalizowane</t>
        </is>
      </c>
      <c r="C8" t="inlineStr">
        <is>
          <t>HDF + sklejka</t>
        </is>
      </c>
      <c r="D8" s="5" t="n">
        <v>38</v>
      </c>
      <c r="E8" s="5" t="n">
        <v>160</v>
      </c>
      <c r="F8" s="5">
        <f>E8-D8</f>
        <v/>
      </c>
      <c r="G8" s="13">
        <f>(E8-D8)/D8</f>
        <v/>
      </c>
      <c r="H8" t="inlineStr">
        <is>
          <t>1,5 h</t>
        </is>
      </c>
      <c r="I8" t="inlineStr"/>
    </row>
    <row r="9">
      <c r="A9" t="n">
        <v>8</v>
      </c>
      <c r="B9" t="inlineStr">
        <is>
          <t>Księga gości - okładka drewniana</t>
        </is>
      </c>
      <c r="C9" t="inlineStr">
        <is>
          <t>sklejka + grawer</t>
        </is>
      </c>
      <c r="D9" s="5" t="n">
        <v>30</v>
      </c>
      <c r="E9" s="5" t="n">
        <v>140</v>
      </c>
      <c r="F9" s="5">
        <f>E9-D9</f>
        <v/>
      </c>
      <c r="G9" s="13">
        <f>(E9-D9)/D9</f>
        <v/>
      </c>
      <c r="H9" t="inlineStr">
        <is>
          <t>1 h</t>
        </is>
      </c>
      <c r="I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7" customWidth="1" min="3" max="3"/>
    <col width="14" customWidth="1" min="4" max="4"/>
    <col width="13" customWidth="1" min="5" max="5"/>
    <col width="15" customWidth="1" min="6" max="6"/>
    <col width="12" customWidth="1" min="7" max="7"/>
    <col width="30" customWidth="1" min="8" max="8"/>
    <col width="26" customWidth="1" min="9" max="9"/>
  </cols>
  <sheetData>
    <row r="1" ht="34" customHeight="1">
      <c r="A1" s="10" t="inlineStr">
        <is>
          <t>Kategoria</t>
        </is>
      </c>
      <c r="B1" s="10" t="inlineStr">
        <is>
          <t>Produkt</t>
        </is>
      </c>
      <c r="C1" s="10" t="inlineStr">
        <is>
          <t>Koszt własny/szt.</t>
        </is>
      </c>
      <c r="D1" s="10" t="inlineStr">
        <is>
          <t>Cena 1-24 szt.</t>
        </is>
      </c>
      <c r="E1" s="10" t="inlineStr">
        <is>
          <t>Cena 25-99</t>
        </is>
      </c>
      <c r="F1" s="10" t="inlineStr">
        <is>
          <t>Cena 100-299</t>
        </is>
      </c>
      <c r="G1" s="10" t="inlineStr">
        <is>
          <t>Cena 300+</t>
        </is>
      </c>
      <c r="H1" s="10" t="inlineStr">
        <is>
          <t>Kto kupuje</t>
        </is>
      </c>
      <c r="I1" s="10" t="inlineStr">
        <is>
          <t>Kiedy zamawia</t>
        </is>
      </c>
    </row>
    <row r="2">
      <c r="A2" t="inlineStr">
        <is>
          <t>Nagrody</t>
        </is>
      </c>
      <c r="B2" t="inlineStr">
        <is>
          <t>Statuetka plexi + drewno, grawer</t>
        </is>
      </c>
      <c r="C2" s="5" t="n">
        <v>28</v>
      </c>
      <c r="D2" s="5" t="n">
        <v>180</v>
      </c>
      <c r="E2" s="5" t="n">
        <v>150</v>
      </c>
      <c r="F2" s="5" t="n">
        <v>125</v>
      </c>
      <c r="G2" s="5" t="n">
        <v>105</v>
      </c>
      <c r="H2" t="inlineStr">
        <is>
          <t>HR, marketing, kluby sportowe</t>
        </is>
      </c>
      <c r="I2" t="inlineStr">
        <is>
          <t>gale: I kw. i XI-XII</t>
        </is>
      </c>
    </row>
    <row r="3">
      <c r="A3" t="inlineStr">
        <is>
          <t>Nagrody</t>
        </is>
      </c>
      <c r="B3" t="inlineStr">
        <is>
          <t>Trofeum jubileuszowe 5/10/15 lat pracy</t>
        </is>
      </c>
      <c r="C3" s="5" t="n">
        <v>35</v>
      </c>
      <c r="D3" s="5" t="n">
        <v>220</v>
      </c>
      <c r="E3" s="5" t="n">
        <v>185</v>
      </c>
      <c r="F3" s="5" t="n">
        <v>155</v>
      </c>
      <c r="G3" s="5" t="n">
        <v>130</v>
      </c>
      <c r="H3" t="inlineStr">
        <is>
          <t>HR</t>
        </is>
      </c>
      <c r="I3" t="inlineStr">
        <is>
          <t>cały rok, plan roczny</t>
        </is>
      </c>
    </row>
    <row r="4">
      <c r="A4" t="inlineStr">
        <is>
          <t>Nagrody</t>
        </is>
      </c>
      <c r="B4" t="inlineStr">
        <is>
          <t>Medal / plakieta z grawerem</t>
        </is>
      </c>
      <c r="C4" s="5" t="n">
        <v>12</v>
      </c>
      <c r="D4" s="5" t="n">
        <v>75</v>
      </c>
      <c r="E4" s="5" t="n">
        <v>60</v>
      </c>
      <c r="F4" s="5" t="n">
        <v>48</v>
      </c>
      <c r="G4" s="5" t="n">
        <v>38</v>
      </c>
      <c r="H4" t="inlineStr">
        <is>
          <t>kluby, szkoły, zawody</t>
        </is>
      </c>
      <c r="I4" t="inlineStr">
        <is>
          <t>sezon sportowy</t>
        </is>
      </c>
    </row>
    <row r="5">
      <c r="A5" s="14" t="inlineStr">
        <is>
          <t>Święta</t>
        </is>
      </c>
      <c r="B5" s="14" t="inlineStr">
        <is>
          <t>Bombka drewniana z logo firmy</t>
        </is>
      </c>
      <c r="C5" s="15" t="n">
        <v>4.5</v>
      </c>
      <c r="D5" s="15" t="n">
        <v>32</v>
      </c>
      <c r="E5" s="15" t="n">
        <v>24</v>
      </c>
      <c r="F5" s="15" t="n">
        <v>18</v>
      </c>
      <c r="G5" s="15" t="n">
        <v>14</v>
      </c>
      <c r="H5" s="14" t="inlineStr">
        <is>
          <t>marketing, biura</t>
        </is>
      </c>
      <c r="I5" s="14" t="inlineStr">
        <is>
          <t>‼ zamówienia IX-XI</t>
        </is>
      </c>
    </row>
    <row r="6">
      <c r="A6" s="14" t="inlineStr">
        <is>
          <t>Święta</t>
        </is>
      </c>
      <c r="B6" s="14" t="inlineStr">
        <is>
          <t>Ozdoba choinkowa premium (3 warstwy)</t>
        </is>
      </c>
      <c r="C6" s="15" t="n">
        <v>9</v>
      </c>
      <c r="D6" s="15" t="n">
        <v>55</v>
      </c>
      <c r="E6" s="15" t="n">
        <v>44</v>
      </c>
      <c r="F6" s="15" t="n">
        <v>35</v>
      </c>
      <c r="G6" s="15" t="n">
        <v>28</v>
      </c>
      <c r="H6" s="14" t="inlineStr">
        <is>
          <t>marketing</t>
        </is>
      </c>
      <c r="I6" s="14" t="inlineStr">
        <is>
          <t>‼ zamówienia IX-XI</t>
        </is>
      </c>
    </row>
    <row r="7">
      <c r="A7" s="14" t="inlineStr">
        <is>
          <t>Święta</t>
        </is>
      </c>
      <c r="B7" s="14" t="inlineStr">
        <is>
          <t>Kartka świąteczna drewniana z logo</t>
        </is>
      </c>
      <c r="C7" s="15" t="n">
        <v>6</v>
      </c>
      <c r="D7" s="15" t="n">
        <v>38</v>
      </c>
      <c r="E7" s="15" t="n">
        <v>30</v>
      </c>
      <c r="F7" s="15" t="n">
        <v>24</v>
      </c>
      <c r="G7" s="15" t="n">
        <v>19</v>
      </c>
      <c r="H7" s="14" t="inlineStr">
        <is>
          <t>marketing, zarząd</t>
        </is>
      </c>
      <c r="I7" s="14" t="inlineStr">
        <is>
          <t>‼ zamówienia IX-XI</t>
        </is>
      </c>
    </row>
    <row r="8">
      <c r="A8" s="14" t="inlineStr">
        <is>
          <t>Święta</t>
        </is>
      </c>
      <c r="B8" s="14" t="inlineStr">
        <is>
          <t>Zestaw upominkowy (ozdoba+kartka+pudełko)</t>
        </is>
      </c>
      <c r="C8" s="15" t="n">
        <v>16</v>
      </c>
      <c r="D8" s="15" t="n">
        <v>95</v>
      </c>
      <c r="E8" s="15" t="n">
        <v>78</v>
      </c>
      <c r="F8" s="15" t="n">
        <v>62</v>
      </c>
      <c r="G8" s="15" t="n">
        <v>50</v>
      </c>
      <c r="H8" s="14" t="inlineStr">
        <is>
          <t>marketing</t>
        </is>
      </c>
      <c r="I8" s="14" t="inlineStr">
        <is>
          <t>‼ zamówienia IX-XI</t>
        </is>
      </c>
    </row>
    <row r="9">
      <c r="A9" t="inlineStr">
        <is>
          <t>Biuro</t>
        </is>
      </c>
      <c r="B9" t="inlineStr">
        <is>
          <t>Tabliczka na drzwi (imię/stanowisko)</t>
        </is>
      </c>
      <c r="C9" s="5" t="n">
        <v>9</v>
      </c>
      <c r="D9" s="5" t="n">
        <v>60</v>
      </c>
      <c r="E9" s="5" t="n">
        <v>48</v>
      </c>
      <c r="F9" s="5" t="n">
        <v>40</v>
      </c>
      <c r="G9" s="5" t="n">
        <v>34</v>
      </c>
      <c r="H9" t="inlineStr">
        <is>
          <t>biura, gabinety, kancelarie</t>
        </is>
      </c>
      <c r="I9" t="inlineStr">
        <is>
          <t>przeprowadzki, remonty</t>
        </is>
      </c>
    </row>
    <row r="10">
      <c r="A10" t="inlineStr">
        <is>
          <t>Biuro</t>
        </is>
      </c>
      <c r="B10" t="inlineStr">
        <is>
          <t>Numer sali / oznaczenie pomieszczenia</t>
        </is>
      </c>
      <c r="C10" s="5" t="n">
        <v>7</v>
      </c>
      <c r="D10" s="5" t="n">
        <v>45</v>
      </c>
      <c r="E10" s="5" t="n">
        <v>36</v>
      </c>
      <c r="F10" s="5" t="n">
        <v>30</v>
      </c>
      <c r="G10" s="5" t="n">
        <v>25</v>
      </c>
      <c r="H10" t="inlineStr">
        <is>
          <t>biura, przedszkola, hotele</t>
        </is>
      </c>
      <c r="I10" t="inlineStr">
        <is>
          <t>cały rok</t>
        </is>
      </c>
    </row>
    <row r="11">
      <c r="A11" t="inlineStr">
        <is>
          <t>Biuro</t>
        </is>
      </c>
      <c r="B11" t="inlineStr">
        <is>
          <t>Tabliczka informacyjna (pchać/ciągnąć, RODO)</t>
        </is>
      </c>
      <c r="C11" s="5" t="n">
        <v>5</v>
      </c>
      <c r="D11" s="5" t="n">
        <v>35</v>
      </c>
      <c r="E11" s="5" t="n">
        <v>28</v>
      </c>
      <c r="F11" s="5" t="n">
        <v>23</v>
      </c>
      <c r="G11" s="5" t="n">
        <v>19</v>
      </c>
      <c r="H11" t="inlineStr">
        <is>
          <t>lokale usługowe</t>
        </is>
      </c>
      <c r="I11" t="inlineStr">
        <is>
          <t>cały rok</t>
        </is>
      </c>
    </row>
    <row r="12">
      <c r="A12" t="inlineStr">
        <is>
          <t>Duże</t>
        </is>
      </c>
      <c r="B12" t="inlineStr">
        <is>
          <t>Logo 3D na ścianę recepcji (do 80 cm)</t>
        </is>
      </c>
      <c r="C12" s="5" t="n">
        <v>180</v>
      </c>
      <c r="D12" s="5" t="n">
        <v>1400</v>
      </c>
      <c r="E12" s="5" t="n"/>
      <c r="F12" s="5" t="n"/>
      <c r="G12" s="5" t="n"/>
      <c r="H12" t="inlineStr">
        <is>
          <t>marketing, zarząd</t>
        </is>
      </c>
      <c r="I12" t="inlineStr">
        <is>
          <t>remont, rebranding</t>
        </is>
      </c>
    </row>
    <row r="13">
      <c r="A13" t="inlineStr">
        <is>
          <t>Duże</t>
        </is>
      </c>
      <c r="B13" t="inlineStr">
        <is>
          <t>Szyld zewnętrzny podświetlany LED</t>
        </is>
      </c>
      <c r="C13" s="5" t="n">
        <v>320</v>
      </c>
      <c r="D13" s="5" t="n">
        <v>2400</v>
      </c>
      <c r="E13" s="5" t="n"/>
      <c r="F13" s="5" t="n"/>
      <c r="G13" s="5" t="n"/>
      <c r="H13" t="inlineStr">
        <is>
          <t>lokale usługowe</t>
        </is>
      </c>
      <c r="I13" t="inlineStr">
        <is>
          <t>otwarcie lokalu</t>
        </is>
      </c>
    </row>
    <row r="14">
      <c r="A14" t="inlineStr">
        <is>
          <t>Duże</t>
        </is>
      </c>
      <c r="B14" t="inlineStr">
        <is>
          <t>Tablica organizacyjna / grafik na ścianę</t>
        </is>
      </c>
      <c r="C14" s="5" t="n">
        <v>90</v>
      </c>
      <c r="D14" s="5" t="n">
        <v>650</v>
      </c>
      <c r="E14" s="5" t="n"/>
      <c r="F14" s="5" t="n"/>
      <c r="G14" s="5" t="n"/>
      <c r="H14" t="inlineStr">
        <is>
          <t>produkcja, biura</t>
        </is>
      </c>
      <c r="I14" t="inlineStr">
        <is>
          <t>cały rok</t>
        </is>
      </c>
    </row>
    <row r="16">
      <c r="B16" s="16" t="inlineStr">
        <is>
          <t>Ceny bez VAT (działalność nierejestrowana = cena końcowa). Na rachunku NAZWY PRODUKTÓW, nigdy 'usługa'.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30" customWidth="1" min="4" max="4"/>
    <col width="44" customWidth="1" min="5" max="5"/>
    <col width="13" customWidth="1" min="6" max="6"/>
    <col width="9" customWidth="1" min="7" max="7"/>
    <col width="3" customWidth="1" min="8" max="8"/>
    <col width="20" customWidth="1" min="9" max="9"/>
    <col width="14" customWidth="1" min="10" max="10"/>
    <col width="13" customWidth="1" min="11" max="11"/>
    <col width="13" customWidth="1" min="12" max="12"/>
    <col width="30" customWidth="1" min="13" max="13"/>
  </cols>
  <sheetData>
    <row r="1">
      <c r="A1" s="1" t="inlineStr">
        <is>
          <t>UPROSZCZONA EWIDENCJA SPRZEDAŻY — żona</t>
        </is>
      </c>
    </row>
    <row r="2">
      <c r="A2" s="9" t="inlineStr">
        <is>
          <t>Limit 2026: 10 813,50 zł przychodu należnego na KWARTAŁ (225% min. wynagrodzenia). Limit osobny dla każdej osoby fizycznej.</t>
        </is>
      </c>
    </row>
    <row r="4" ht="34" customHeight="1">
      <c r="A4" s="10" t="inlineStr">
        <is>
          <t>Lp.</t>
        </is>
      </c>
      <c r="B4" s="10" t="inlineStr">
        <is>
          <t>Data sprzedaży</t>
        </is>
      </c>
      <c r="C4" s="10" t="inlineStr">
        <is>
          <t>Nr rachunku</t>
        </is>
      </c>
      <c r="D4" s="10" t="inlineStr">
        <is>
          <t>Nabywca</t>
        </is>
      </c>
      <c r="E4" s="10" t="inlineStr">
        <is>
          <t>Opis (NAZWA PRODUKTU)</t>
        </is>
      </c>
      <c r="F4" s="10" t="inlineStr">
        <is>
          <t>Kwota</t>
        </is>
      </c>
      <c r="G4" s="10" t="inlineStr">
        <is>
          <t>Kwartał</t>
        </is>
      </c>
      <c r="I4" s="2" t="inlineStr">
        <is>
          <t>PODSUMOWANIE</t>
        </is>
      </c>
    </row>
    <row r="5">
      <c r="A5" s="17" t="n">
        <v>1</v>
      </c>
      <c r="B5" s="17" t="n"/>
      <c r="C5" s="17" t="n"/>
      <c r="D5" s="17" t="n"/>
      <c r="E5" s="17" t="n"/>
      <c r="F5" s="18" t="n"/>
      <c r="G5" s="17">
        <f>IF(B5="","",ROUNDUP(MONTH(B5)/3,0))</f>
        <v/>
      </c>
      <c r="I5" s="11" t="inlineStr">
        <is>
          <t>Kwartał</t>
        </is>
      </c>
      <c r="J5" s="11" t="inlineStr">
        <is>
          <t>Przychód</t>
        </is>
      </c>
      <c r="K5" s="11" t="inlineStr">
        <is>
          <t>Limit</t>
        </is>
      </c>
      <c r="L5" s="11" t="inlineStr">
        <is>
          <t>Pozostało</t>
        </is>
      </c>
      <c r="M5" s="11" t="inlineStr">
        <is>
          <t>Status</t>
        </is>
      </c>
    </row>
    <row r="6">
      <c r="A6" s="17" t="n">
        <v>2</v>
      </c>
      <c r="B6" s="17" t="n"/>
      <c r="C6" s="17" t="n"/>
      <c r="D6" s="17" t="n"/>
      <c r="E6" s="17" t="n"/>
      <c r="F6" s="18" t="n"/>
      <c r="G6" s="17">
        <f>IF(B6="","",ROUNDUP(MONTH(B6)/3,0))</f>
        <v/>
      </c>
      <c r="I6" t="inlineStr">
        <is>
          <t>Q1</t>
        </is>
      </c>
      <c r="J6" s="5">
        <f>SUMIF($G$5:$G$104,1,$F$5:$F$104)</f>
        <v/>
      </c>
      <c r="K6" s="5" t="n">
        <v>10813.5</v>
      </c>
      <c r="L6" s="5">
        <f>K6-J6</f>
        <v/>
      </c>
      <c r="M6">
        <f>IF(J6&gt;K6,"PRZEKROCZONY - CEIDG w 7 dni!",IF(J6&gt;K6*0.85,"UWAGA - blisko limitu","OK"))</f>
        <v/>
      </c>
    </row>
    <row r="7">
      <c r="A7" s="17" t="n">
        <v>3</v>
      </c>
      <c r="B7" s="17" t="n"/>
      <c r="C7" s="17" t="n"/>
      <c r="D7" s="17" t="n"/>
      <c r="E7" s="17" t="n"/>
      <c r="F7" s="18" t="n"/>
      <c r="G7" s="17">
        <f>IF(B7="","",ROUNDUP(MONTH(B7)/3,0))</f>
        <v/>
      </c>
      <c r="I7" t="inlineStr">
        <is>
          <t>Q2</t>
        </is>
      </c>
      <c r="J7" s="5">
        <f>SUMIF($G$5:$G$104,2,$F$5:$F$104)</f>
        <v/>
      </c>
      <c r="K7" s="5" t="n">
        <v>10813.5</v>
      </c>
      <c r="L7" s="5">
        <f>K7-J7</f>
        <v/>
      </c>
      <c r="M7">
        <f>IF(J7&gt;K7,"PRZEKROCZONY - CEIDG w 7 dni!",IF(J7&gt;K7*0.85,"UWAGA - blisko limitu","OK"))</f>
        <v/>
      </c>
    </row>
    <row r="8">
      <c r="A8" s="17" t="n">
        <v>4</v>
      </c>
      <c r="B8" s="17" t="n"/>
      <c r="C8" s="17" t="n"/>
      <c r="D8" s="17" t="n"/>
      <c r="E8" s="17" t="n"/>
      <c r="F8" s="18" t="n"/>
      <c r="G8" s="17">
        <f>IF(B8="","",ROUNDUP(MONTH(B8)/3,0))</f>
        <v/>
      </c>
      <c r="I8" t="inlineStr">
        <is>
          <t>Q3</t>
        </is>
      </c>
      <c r="J8" s="5">
        <f>SUMIF($G$5:$G$104,3,$F$5:$F$104)</f>
        <v/>
      </c>
      <c r="K8" s="5" t="n">
        <v>10813.5</v>
      </c>
      <c r="L8" s="5">
        <f>K8-J8</f>
        <v/>
      </c>
      <c r="M8">
        <f>IF(J8&gt;K8,"PRZEKROCZONY - CEIDG w 7 dni!",IF(J8&gt;K8*0.85,"UWAGA - blisko limitu","OK"))</f>
        <v/>
      </c>
    </row>
    <row r="9">
      <c r="A9" s="17" t="n">
        <v>5</v>
      </c>
      <c r="B9" s="17" t="n"/>
      <c r="C9" s="17" t="n"/>
      <c r="D9" s="17" t="n"/>
      <c r="E9" s="17" t="n"/>
      <c r="F9" s="18" t="n"/>
      <c r="G9" s="17">
        <f>IF(B9="","",ROUNDUP(MONTH(B9)/3,0))</f>
        <v/>
      </c>
      <c r="I9" t="inlineStr">
        <is>
          <t>Q4</t>
        </is>
      </c>
      <c r="J9" s="5">
        <f>SUMIF($G$5:$G$104,4,$F$5:$F$104)</f>
        <v/>
      </c>
      <c r="K9" s="5" t="n">
        <v>10813.5</v>
      </c>
      <c r="L9" s="5">
        <f>K9-J9</f>
        <v/>
      </c>
      <c r="M9">
        <f>IF(J9&gt;K9,"PRZEKROCZONY - CEIDG w 7 dni!",IF(J9&gt;K9*0.85,"UWAGA - blisko limitu","OK"))</f>
        <v/>
      </c>
    </row>
    <row r="10">
      <c r="A10" s="17" t="n">
        <v>6</v>
      </c>
      <c r="B10" s="17" t="n"/>
      <c r="C10" s="17" t="n"/>
      <c r="D10" s="17" t="n"/>
      <c r="E10" s="17" t="n"/>
      <c r="F10" s="18" t="n"/>
      <c r="G10" s="17">
        <f>IF(B10="","",ROUNDUP(MONTH(B10)/3,0))</f>
        <v/>
      </c>
    </row>
    <row r="11">
      <c r="A11" s="17" t="n">
        <v>7</v>
      </c>
      <c r="B11" s="17" t="n"/>
      <c r="C11" s="17" t="n"/>
      <c r="D11" s="17" t="n"/>
      <c r="E11" s="17" t="n"/>
      <c r="F11" s="18" t="n"/>
      <c r="G11" s="17">
        <f>IF(B11="","",ROUNDUP(MONTH(B11)/3,0))</f>
        <v/>
      </c>
      <c r="I11" s="11" t="inlineStr">
        <is>
          <t>RAZEM ROK</t>
        </is>
      </c>
      <c r="J11" s="19">
        <f>SUM(J6:J9)</f>
        <v/>
      </c>
    </row>
    <row r="12">
      <c r="A12" s="17" t="n">
        <v>8</v>
      </c>
      <c r="B12" s="17" t="n"/>
      <c r="C12" s="17" t="n"/>
      <c r="D12" s="17" t="n"/>
      <c r="E12" s="17" t="n"/>
      <c r="F12" s="18" t="n"/>
      <c r="G12" s="17">
        <f>IF(B12="","",ROUNDUP(MONTH(B12)/3,0))</f>
        <v/>
      </c>
    </row>
    <row r="13">
      <c r="A13" s="17" t="n">
        <v>9</v>
      </c>
      <c r="B13" s="17" t="n"/>
      <c r="C13" s="17" t="n"/>
      <c r="D13" s="17" t="n"/>
      <c r="E13" s="17" t="n"/>
      <c r="F13" s="18" t="n"/>
      <c r="G13" s="17">
        <f>IF(B13="","",ROUNDUP(MONTH(B13)/3,0))</f>
        <v/>
      </c>
      <c r="I13" s="12" t="inlineStr">
        <is>
          <t>Sprzedaż dla os. PRYWATNYCH (próg kasy fiskalnej 20 000 zł/rok):</t>
        </is>
      </c>
    </row>
    <row r="14">
      <c r="A14" s="17" t="n">
        <v>10</v>
      </c>
      <c r="B14" s="17" t="n"/>
      <c r="C14" s="17" t="n"/>
      <c r="D14" s="17" t="n"/>
      <c r="E14" s="17" t="n"/>
      <c r="F14" s="18" t="n"/>
      <c r="G14" s="17">
        <f>IF(B14="","",ROUNDUP(MONTH(B14)/3,0))</f>
        <v/>
      </c>
    </row>
    <row r="15">
      <c r="A15" s="17" t="n">
        <v>11</v>
      </c>
      <c r="B15" s="17" t="n"/>
      <c r="C15" s="17" t="n"/>
      <c r="D15" s="17" t="n"/>
      <c r="E15" s="17" t="n"/>
      <c r="F15" s="18" t="n"/>
      <c r="G15" s="17">
        <f>IF(B15="","",ROUNDUP(MONTH(B15)/3,0))</f>
        <v/>
      </c>
    </row>
    <row r="16">
      <c r="A16" s="17" t="n">
        <v>12</v>
      </c>
      <c r="B16" s="17" t="n"/>
      <c r="C16" s="17" t="n"/>
      <c r="D16" s="17" t="n"/>
      <c r="E16" s="17" t="n"/>
      <c r="F16" s="18" t="n"/>
      <c r="G16" s="17">
        <f>IF(B16="","",ROUNDUP(MONTH(B16)/3,0))</f>
        <v/>
      </c>
    </row>
    <row r="17">
      <c r="A17" s="17" t="n">
        <v>13</v>
      </c>
      <c r="B17" s="17" t="n"/>
      <c r="C17" s="17" t="n"/>
      <c r="D17" s="17" t="n"/>
      <c r="E17" s="17" t="n"/>
      <c r="F17" s="18" t="n"/>
      <c r="G17" s="17">
        <f>IF(B17="","",ROUNDUP(MONTH(B17)/3,0))</f>
        <v/>
      </c>
    </row>
    <row r="18">
      <c r="A18" s="17" t="n">
        <v>14</v>
      </c>
      <c r="B18" s="17" t="n"/>
      <c r="C18" s="17" t="n"/>
      <c r="D18" s="17" t="n"/>
      <c r="E18" s="17" t="n"/>
      <c r="F18" s="18" t="n"/>
      <c r="G18" s="17">
        <f>IF(B18="","",ROUNDUP(MONTH(B18)/3,0))</f>
        <v/>
      </c>
    </row>
    <row r="19">
      <c r="A19" s="17" t="n">
        <v>15</v>
      </c>
      <c r="B19" s="17" t="n"/>
      <c r="C19" s="17" t="n"/>
      <c r="D19" s="17" t="n"/>
      <c r="E19" s="17" t="n"/>
      <c r="F19" s="18" t="n"/>
      <c r="G19" s="17">
        <f>IF(B19="","",ROUNDUP(MONTH(B19)/3,0))</f>
        <v/>
      </c>
    </row>
    <row r="20">
      <c r="A20" s="17" t="n">
        <v>16</v>
      </c>
      <c r="B20" s="17" t="n"/>
      <c r="C20" s="17" t="n"/>
      <c r="D20" s="17" t="n"/>
      <c r="E20" s="17" t="n"/>
      <c r="F20" s="18" t="n"/>
      <c r="G20" s="17">
        <f>IF(B20="","",ROUNDUP(MONTH(B20)/3,0))</f>
        <v/>
      </c>
    </row>
    <row r="21">
      <c r="A21" s="17" t="n">
        <v>17</v>
      </c>
      <c r="B21" s="17" t="n"/>
      <c r="C21" s="17" t="n"/>
      <c r="D21" s="17" t="n"/>
      <c r="E21" s="17" t="n"/>
      <c r="F21" s="18" t="n"/>
      <c r="G21" s="17">
        <f>IF(B21="","",ROUNDUP(MONTH(B21)/3,0))</f>
        <v/>
      </c>
    </row>
    <row r="22">
      <c r="A22" s="17" t="n">
        <v>18</v>
      </c>
      <c r="B22" s="17" t="n"/>
      <c r="C22" s="17" t="n"/>
      <c r="D22" s="17" t="n"/>
      <c r="E22" s="17" t="n"/>
      <c r="F22" s="18" t="n"/>
      <c r="G22" s="17">
        <f>IF(B22="","",ROUNDUP(MONTH(B22)/3,0))</f>
        <v/>
      </c>
    </row>
    <row r="23">
      <c r="A23" s="17" t="n">
        <v>19</v>
      </c>
      <c r="B23" s="17" t="n"/>
      <c r="C23" s="17" t="n"/>
      <c r="D23" s="17" t="n"/>
      <c r="E23" s="17" t="n"/>
      <c r="F23" s="18" t="n"/>
      <c r="G23" s="17">
        <f>IF(B23="","",ROUNDUP(MONTH(B23)/3,0))</f>
        <v/>
      </c>
    </row>
    <row r="24">
      <c r="A24" s="17" t="n">
        <v>20</v>
      </c>
      <c r="B24" s="17" t="n"/>
      <c r="C24" s="17" t="n"/>
      <c r="D24" s="17" t="n"/>
      <c r="E24" s="17" t="n"/>
      <c r="F24" s="18" t="n"/>
      <c r="G24" s="17">
        <f>IF(B24="","",ROUNDUP(MONTH(B24)/3,0))</f>
        <v/>
      </c>
    </row>
    <row r="25">
      <c r="A25" s="17" t="n">
        <v>21</v>
      </c>
      <c r="B25" s="17" t="n"/>
      <c r="C25" s="17" t="n"/>
      <c r="D25" s="17" t="n"/>
      <c r="E25" s="17" t="n"/>
      <c r="F25" s="18" t="n"/>
      <c r="G25" s="17">
        <f>IF(B25="","",ROUNDUP(MONTH(B25)/3,0))</f>
        <v/>
      </c>
    </row>
    <row r="26">
      <c r="A26" s="17" t="n">
        <v>22</v>
      </c>
      <c r="B26" s="17" t="n"/>
      <c r="C26" s="17" t="n"/>
      <c r="D26" s="17" t="n"/>
      <c r="E26" s="17" t="n"/>
      <c r="F26" s="18" t="n"/>
      <c r="G26" s="17">
        <f>IF(B26="","",ROUNDUP(MONTH(B26)/3,0))</f>
        <v/>
      </c>
    </row>
    <row r="27">
      <c r="A27" s="17" t="n">
        <v>23</v>
      </c>
      <c r="B27" s="17" t="n"/>
      <c r="C27" s="17" t="n"/>
      <c r="D27" s="17" t="n"/>
      <c r="E27" s="17" t="n"/>
      <c r="F27" s="18" t="n"/>
      <c r="G27" s="17">
        <f>IF(B27="","",ROUNDUP(MONTH(B27)/3,0))</f>
        <v/>
      </c>
    </row>
    <row r="28">
      <c r="A28" s="17" t="n">
        <v>24</v>
      </c>
      <c r="B28" s="17" t="n"/>
      <c r="C28" s="17" t="n"/>
      <c r="D28" s="17" t="n"/>
      <c r="E28" s="17" t="n"/>
      <c r="F28" s="18" t="n"/>
      <c r="G28" s="17">
        <f>IF(B28="","",ROUNDUP(MONTH(B28)/3,0))</f>
        <v/>
      </c>
    </row>
    <row r="29">
      <c r="A29" s="17" t="n">
        <v>25</v>
      </c>
      <c r="B29" s="17" t="n"/>
      <c r="C29" s="17" t="n"/>
      <c r="D29" s="17" t="n"/>
      <c r="E29" s="17" t="n"/>
      <c r="F29" s="18" t="n"/>
      <c r="G29" s="17">
        <f>IF(B29="","",ROUNDUP(MONTH(B29)/3,0))</f>
        <v/>
      </c>
    </row>
    <row r="30">
      <c r="A30" s="17" t="n">
        <v>26</v>
      </c>
      <c r="B30" s="17" t="n"/>
      <c r="C30" s="17" t="n"/>
      <c r="D30" s="17" t="n"/>
      <c r="E30" s="17" t="n"/>
      <c r="F30" s="18" t="n"/>
      <c r="G30" s="17">
        <f>IF(B30="","",ROUNDUP(MONTH(B30)/3,0))</f>
        <v/>
      </c>
    </row>
    <row r="31">
      <c r="A31" s="17" t="n">
        <v>27</v>
      </c>
      <c r="B31" s="17" t="n"/>
      <c r="C31" s="17" t="n"/>
      <c r="D31" s="17" t="n"/>
      <c r="E31" s="17" t="n"/>
      <c r="F31" s="18" t="n"/>
      <c r="G31" s="17">
        <f>IF(B31="","",ROUNDUP(MONTH(B31)/3,0))</f>
        <v/>
      </c>
    </row>
    <row r="32">
      <c r="A32" s="17" t="n">
        <v>28</v>
      </c>
      <c r="B32" s="17" t="n"/>
      <c r="C32" s="17" t="n"/>
      <c r="D32" s="17" t="n"/>
      <c r="E32" s="17" t="n"/>
      <c r="F32" s="18" t="n"/>
      <c r="G32" s="17">
        <f>IF(B32="","",ROUNDUP(MONTH(B32)/3,0))</f>
        <v/>
      </c>
    </row>
    <row r="33">
      <c r="A33" s="17" t="n">
        <v>29</v>
      </c>
      <c r="B33" s="17" t="n"/>
      <c r="C33" s="17" t="n"/>
      <c r="D33" s="17" t="n"/>
      <c r="E33" s="17" t="n"/>
      <c r="F33" s="18" t="n"/>
      <c r="G33" s="17">
        <f>IF(B33="","",ROUNDUP(MONTH(B33)/3,0))</f>
        <v/>
      </c>
    </row>
    <row r="34">
      <c r="A34" s="17" t="n">
        <v>30</v>
      </c>
      <c r="B34" s="17" t="n"/>
      <c r="C34" s="17" t="n"/>
      <c r="D34" s="17" t="n"/>
      <c r="E34" s="17" t="n"/>
      <c r="F34" s="18" t="n"/>
      <c r="G34" s="17">
        <f>IF(B34="","",ROUNDUP(MONTH(B34)/3,0))</f>
        <v/>
      </c>
    </row>
    <row r="35">
      <c r="A35" s="17" t="n">
        <v>31</v>
      </c>
      <c r="B35" s="17" t="n"/>
      <c r="C35" s="17" t="n"/>
      <c r="D35" s="17" t="n"/>
      <c r="E35" s="17" t="n"/>
      <c r="F35" s="18" t="n"/>
      <c r="G35" s="17">
        <f>IF(B35="","",ROUNDUP(MONTH(B35)/3,0))</f>
        <v/>
      </c>
    </row>
    <row r="36">
      <c r="A36" s="17" t="n">
        <v>32</v>
      </c>
      <c r="B36" s="17" t="n"/>
      <c r="C36" s="17" t="n"/>
      <c r="D36" s="17" t="n"/>
      <c r="E36" s="17" t="n"/>
      <c r="F36" s="18" t="n"/>
      <c r="G36" s="17">
        <f>IF(B36="","",ROUNDUP(MONTH(B36)/3,0))</f>
        <v/>
      </c>
    </row>
    <row r="37">
      <c r="A37" s="17" t="n">
        <v>33</v>
      </c>
      <c r="B37" s="17" t="n"/>
      <c r="C37" s="17" t="n"/>
      <c r="D37" s="17" t="n"/>
      <c r="E37" s="17" t="n"/>
      <c r="F37" s="18" t="n"/>
      <c r="G37" s="17">
        <f>IF(B37="","",ROUNDUP(MONTH(B37)/3,0))</f>
        <v/>
      </c>
    </row>
    <row r="38">
      <c r="A38" s="17" t="n">
        <v>34</v>
      </c>
      <c r="B38" s="17" t="n"/>
      <c r="C38" s="17" t="n"/>
      <c r="D38" s="17" t="n"/>
      <c r="E38" s="17" t="n"/>
      <c r="F38" s="18" t="n"/>
      <c r="G38" s="17">
        <f>IF(B38="","",ROUNDUP(MONTH(B38)/3,0))</f>
        <v/>
      </c>
    </row>
    <row r="39">
      <c r="A39" s="17" t="n">
        <v>35</v>
      </c>
      <c r="B39" s="17" t="n"/>
      <c r="C39" s="17" t="n"/>
      <c r="D39" s="17" t="n"/>
      <c r="E39" s="17" t="n"/>
      <c r="F39" s="18" t="n"/>
      <c r="G39" s="17">
        <f>IF(B39="","",ROUNDUP(MONTH(B39)/3,0))</f>
        <v/>
      </c>
    </row>
    <row r="40">
      <c r="A40" s="17" t="n">
        <v>36</v>
      </c>
      <c r="B40" s="17" t="n"/>
      <c r="C40" s="17" t="n"/>
      <c r="D40" s="17" t="n"/>
      <c r="E40" s="17" t="n"/>
      <c r="F40" s="18" t="n"/>
      <c r="G40" s="17">
        <f>IF(B40="","",ROUNDUP(MONTH(B40)/3,0))</f>
        <v/>
      </c>
    </row>
    <row r="41">
      <c r="A41" s="17" t="n">
        <v>37</v>
      </c>
      <c r="B41" s="17" t="n"/>
      <c r="C41" s="17" t="n"/>
      <c r="D41" s="17" t="n"/>
      <c r="E41" s="17" t="n"/>
      <c r="F41" s="18" t="n"/>
      <c r="G41" s="17">
        <f>IF(B41="","",ROUNDUP(MONTH(B41)/3,0))</f>
        <v/>
      </c>
    </row>
    <row r="42">
      <c r="A42" s="17" t="n">
        <v>38</v>
      </c>
      <c r="B42" s="17" t="n"/>
      <c r="C42" s="17" t="n"/>
      <c r="D42" s="17" t="n"/>
      <c r="E42" s="17" t="n"/>
      <c r="F42" s="18" t="n"/>
      <c r="G42" s="17">
        <f>IF(B42="","",ROUNDUP(MONTH(B42)/3,0))</f>
        <v/>
      </c>
    </row>
    <row r="43">
      <c r="A43" s="17" t="n">
        <v>39</v>
      </c>
      <c r="B43" s="17" t="n"/>
      <c r="C43" s="17" t="n"/>
      <c r="D43" s="17" t="n"/>
      <c r="E43" s="17" t="n"/>
      <c r="F43" s="18" t="n"/>
      <c r="G43" s="17">
        <f>IF(B43="","",ROUNDUP(MONTH(B43)/3,0))</f>
        <v/>
      </c>
    </row>
    <row r="44">
      <c r="A44" s="17" t="n">
        <v>40</v>
      </c>
      <c r="B44" s="17" t="n"/>
      <c r="C44" s="17" t="n"/>
      <c r="D44" s="17" t="n"/>
      <c r="E44" s="17" t="n"/>
      <c r="F44" s="18" t="n"/>
      <c r="G44" s="17">
        <f>IF(B44="","",ROUNDUP(MONTH(B44)/3,0))</f>
        <v/>
      </c>
    </row>
    <row r="45">
      <c r="A45" s="17" t="n">
        <v>41</v>
      </c>
      <c r="B45" s="17" t="n"/>
      <c r="C45" s="17" t="n"/>
      <c r="D45" s="17" t="n"/>
      <c r="E45" s="17" t="n"/>
      <c r="F45" s="18" t="n"/>
      <c r="G45" s="17">
        <f>IF(B45="","",ROUNDUP(MONTH(B45)/3,0))</f>
        <v/>
      </c>
    </row>
    <row r="46">
      <c r="A46" s="17" t="n">
        <v>42</v>
      </c>
      <c r="B46" s="17" t="n"/>
      <c r="C46" s="17" t="n"/>
      <c r="D46" s="17" t="n"/>
      <c r="E46" s="17" t="n"/>
      <c r="F46" s="18" t="n"/>
      <c r="G46" s="17">
        <f>IF(B46="","",ROUNDUP(MONTH(B46)/3,0))</f>
        <v/>
      </c>
    </row>
    <row r="47">
      <c r="A47" s="17" t="n">
        <v>43</v>
      </c>
      <c r="B47" s="17" t="n"/>
      <c r="C47" s="17" t="n"/>
      <c r="D47" s="17" t="n"/>
      <c r="E47" s="17" t="n"/>
      <c r="F47" s="18" t="n"/>
      <c r="G47" s="17">
        <f>IF(B47="","",ROUNDUP(MONTH(B47)/3,0))</f>
        <v/>
      </c>
    </row>
    <row r="48">
      <c r="A48" s="17" t="n">
        <v>44</v>
      </c>
      <c r="B48" s="17" t="n"/>
      <c r="C48" s="17" t="n"/>
      <c r="D48" s="17" t="n"/>
      <c r="E48" s="17" t="n"/>
      <c r="F48" s="18" t="n"/>
      <c r="G48" s="17">
        <f>IF(B48="","",ROUNDUP(MONTH(B48)/3,0))</f>
        <v/>
      </c>
    </row>
    <row r="49">
      <c r="A49" s="17" t="n">
        <v>45</v>
      </c>
      <c r="B49" s="17" t="n"/>
      <c r="C49" s="17" t="n"/>
      <c r="D49" s="17" t="n"/>
      <c r="E49" s="17" t="n"/>
      <c r="F49" s="18" t="n"/>
      <c r="G49" s="17">
        <f>IF(B49="","",ROUNDUP(MONTH(B49)/3,0))</f>
        <v/>
      </c>
    </row>
    <row r="50">
      <c r="A50" s="17" t="n">
        <v>46</v>
      </c>
      <c r="B50" s="17" t="n"/>
      <c r="C50" s="17" t="n"/>
      <c r="D50" s="17" t="n"/>
      <c r="E50" s="17" t="n"/>
      <c r="F50" s="18" t="n"/>
      <c r="G50" s="17">
        <f>IF(B50="","",ROUNDUP(MONTH(B50)/3,0))</f>
        <v/>
      </c>
    </row>
    <row r="51">
      <c r="A51" s="17" t="n">
        <v>47</v>
      </c>
      <c r="B51" s="17" t="n"/>
      <c r="C51" s="17" t="n"/>
      <c r="D51" s="17" t="n"/>
      <c r="E51" s="17" t="n"/>
      <c r="F51" s="18" t="n"/>
      <c r="G51" s="17">
        <f>IF(B51="","",ROUNDUP(MONTH(B51)/3,0))</f>
        <v/>
      </c>
    </row>
    <row r="52">
      <c r="A52" s="17" t="n">
        <v>48</v>
      </c>
      <c r="B52" s="17" t="n"/>
      <c r="C52" s="17" t="n"/>
      <c r="D52" s="17" t="n"/>
      <c r="E52" s="17" t="n"/>
      <c r="F52" s="18" t="n"/>
      <c r="G52" s="17">
        <f>IF(B52="","",ROUNDUP(MONTH(B52)/3,0))</f>
        <v/>
      </c>
    </row>
    <row r="53">
      <c r="A53" s="17" t="n">
        <v>49</v>
      </c>
      <c r="B53" s="17" t="n"/>
      <c r="C53" s="17" t="n"/>
      <c r="D53" s="17" t="n"/>
      <c r="E53" s="17" t="n"/>
      <c r="F53" s="18" t="n"/>
      <c r="G53" s="17">
        <f>IF(B53="","",ROUNDUP(MONTH(B53)/3,0))</f>
        <v/>
      </c>
    </row>
    <row r="54">
      <c r="A54" s="17" t="n">
        <v>50</v>
      </c>
      <c r="B54" s="17" t="n"/>
      <c r="C54" s="17" t="n"/>
      <c r="D54" s="17" t="n"/>
      <c r="E54" s="17" t="n"/>
      <c r="F54" s="18" t="n"/>
      <c r="G54" s="17">
        <f>IF(B54="","",ROUNDUP(MONTH(B54)/3,0))</f>
        <v/>
      </c>
    </row>
    <row r="55">
      <c r="A55" s="17" t="n">
        <v>51</v>
      </c>
      <c r="B55" s="17" t="n"/>
      <c r="C55" s="17" t="n"/>
      <c r="D55" s="17" t="n"/>
      <c r="E55" s="17" t="n"/>
      <c r="F55" s="18" t="n"/>
      <c r="G55" s="17">
        <f>IF(B55="","",ROUNDUP(MONTH(B55)/3,0))</f>
        <v/>
      </c>
    </row>
    <row r="56">
      <c r="A56" s="17" t="n">
        <v>52</v>
      </c>
      <c r="B56" s="17" t="n"/>
      <c r="C56" s="17" t="n"/>
      <c r="D56" s="17" t="n"/>
      <c r="E56" s="17" t="n"/>
      <c r="F56" s="18" t="n"/>
      <c r="G56" s="17">
        <f>IF(B56="","",ROUNDUP(MONTH(B56)/3,0))</f>
        <v/>
      </c>
    </row>
    <row r="57">
      <c r="A57" s="17" t="n">
        <v>53</v>
      </c>
      <c r="B57" s="17" t="n"/>
      <c r="C57" s="17" t="n"/>
      <c r="D57" s="17" t="n"/>
      <c r="E57" s="17" t="n"/>
      <c r="F57" s="18" t="n"/>
      <c r="G57" s="17">
        <f>IF(B57="","",ROUNDUP(MONTH(B57)/3,0))</f>
        <v/>
      </c>
    </row>
    <row r="58">
      <c r="A58" s="17" t="n">
        <v>54</v>
      </c>
      <c r="B58" s="17" t="n"/>
      <c r="C58" s="17" t="n"/>
      <c r="D58" s="17" t="n"/>
      <c r="E58" s="17" t="n"/>
      <c r="F58" s="18" t="n"/>
      <c r="G58" s="17">
        <f>IF(B58="","",ROUNDUP(MONTH(B58)/3,0))</f>
        <v/>
      </c>
    </row>
    <row r="59">
      <c r="A59" s="17" t="n">
        <v>55</v>
      </c>
      <c r="B59" s="17" t="n"/>
      <c r="C59" s="17" t="n"/>
      <c r="D59" s="17" t="n"/>
      <c r="E59" s="17" t="n"/>
      <c r="F59" s="18" t="n"/>
      <c r="G59" s="17">
        <f>IF(B59="","",ROUNDUP(MONTH(B59)/3,0))</f>
        <v/>
      </c>
    </row>
    <row r="60">
      <c r="A60" s="17" t="n">
        <v>56</v>
      </c>
      <c r="B60" s="17" t="n"/>
      <c r="C60" s="17" t="n"/>
      <c r="D60" s="17" t="n"/>
      <c r="E60" s="17" t="n"/>
      <c r="F60" s="18" t="n"/>
      <c r="G60" s="17">
        <f>IF(B60="","",ROUNDUP(MONTH(B60)/3,0))</f>
        <v/>
      </c>
    </row>
    <row r="61">
      <c r="A61" s="17" t="n">
        <v>57</v>
      </c>
      <c r="B61" s="17" t="n"/>
      <c r="C61" s="17" t="n"/>
      <c r="D61" s="17" t="n"/>
      <c r="E61" s="17" t="n"/>
      <c r="F61" s="18" t="n"/>
      <c r="G61" s="17">
        <f>IF(B61="","",ROUNDUP(MONTH(B61)/3,0))</f>
        <v/>
      </c>
    </row>
    <row r="62">
      <c r="A62" s="17" t="n">
        <v>58</v>
      </c>
      <c r="B62" s="17" t="n"/>
      <c r="C62" s="17" t="n"/>
      <c r="D62" s="17" t="n"/>
      <c r="E62" s="17" t="n"/>
      <c r="F62" s="18" t="n"/>
      <c r="G62" s="17">
        <f>IF(B62="","",ROUNDUP(MONTH(B62)/3,0))</f>
        <v/>
      </c>
    </row>
    <row r="63">
      <c r="A63" s="17" t="n">
        <v>59</v>
      </c>
      <c r="B63" s="17" t="n"/>
      <c r="C63" s="17" t="n"/>
      <c r="D63" s="17" t="n"/>
      <c r="E63" s="17" t="n"/>
      <c r="F63" s="18" t="n"/>
      <c r="G63" s="17">
        <f>IF(B63="","",ROUNDUP(MONTH(B63)/3,0))</f>
        <v/>
      </c>
    </row>
    <row r="64">
      <c r="A64" s="17" t="n">
        <v>60</v>
      </c>
      <c r="B64" s="17" t="n"/>
      <c r="C64" s="17" t="n"/>
      <c r="D64" s="17" t="n"/>
      <c r="E64" s="17" t="n"/>
      <c r="F64" s="18" t="n"/>
      <c r="G64" s="17">
        <f>IF(B64="","",ROUNDUP(MONTH(B64)/3,0))</f>
        <v/>
      </c>
    </row>
    <row r="65">
      <c r="A65" s="17" t="n">
        <v>61</v>
      </c>
      <c r="B65" s="17" t="n"/>
      <c r="C65" s="17" t="n"/>
      <c r="D65" s="17" t="n"/>
      <c r="E65" s="17" t="n"/>
      <c r="F65" s="18" t="n"/>
      <c r="G65" s="17">
        <f>IF(B65="","",ROUNDUP(MONTH(B65)/3,0))</f>
        <v/>
      </c>
    </row>
    <row r="66">
      <c r="A66" s="17" t="n">
        <v>62</v>
      </c>
      <c r="B66" s="17" t="n"/>
      <c r="C66" s="17" t="n"/>
      <c r="D66" s="17" t="n"/>
      <c r="E66" s="17" t="n"/>
      <c r="F66" s="18" t="n"/>
      <c r="G66" s="17">
        <f>IF(B66="","",ROUNDUP(MONTH(B66)/3,0))</f>
        <v/>
      </c>
    </row>
    <row r="67">
      <c r="A67" s="17" t="n">
        <v>63</v>
      </c>
      <c r="B67" s="17" t="n"/>
      <c r="C67" s="17" t="n"/>
      <c r="D67" s="17" t="n"/>
      <c r="E67" s="17" t="n"/>
      <c r="F67" s="18" t="n"/>
      <c r="G67" s="17">
        <f>IF(B67="","",ROUNDUP(MONTH(B67)/3,0))</f>
        <v/>
      </c>
    </row>
    <row r="68">
      <c r="A68" s="17" t="n">
        <v>64</v>
      </c>
      <c r="B68" s="17" t="n"/>
      <c r="C68" s="17" t="n"/>
      <c r="D68" s="17" t="n"/>
      <c r="E68" s="17" t="n"/>
      <c r="F68" s="18" t="n"/>
      <c r="G68" s="17">
        <f>IF(B68="","",ROUNDUP(MONTH(B68)/3,0))</f>
        <v/>
      </c>
    </row>
    <row r="69">
      <c r="A69" s="17" t="n">
        <v>65</v>
      </c>
      <c r="B69" s="17" t="n"/>
      <c r="C69" s="17" t="n"/>
      <c r="D69" s="17" t="n"/>
      <c r="E69" s="17" t="n"/>
      <c r="F69" s="18" t="n"/>
      <c r="G69" s="17">
        <f>IF(B69="","",ROUNDUP(MONTH(B69)/3,0))</f>
        <v/>
      </c>
    </row>
    <row r="70">
      <c r="A70" s="17" t="n">
        <v>66</v>
      </c>
      <c r="B70" s="17" t="n"/>
      <c r="C70" s="17" t="n"/>
      <c r="D70" s="17" t="n"/>
      <c r="E70" s="17" t="n"/>
      <c r="F70" s="18" t="n"/>
      <c r="G70" s="17">
        <f>IF(B70="","",ROUNDUP(MONTH(B70)/3,0))</f>
        <v/>
      </c>
    </row>
    <row r="71">
      <c r="A71" s="17" t="n">
        <v>67</v>
      </c>
      <c r="B71" s="17" t="n"/>
      <c r="C71" s="17" t="n"/>
      <c r="D71" s="17" t="n"/>
      <c r="E71" s="17" t="n"/>
      <c r="F71" s="18" t="n"/>
      <c r="G71" s="17">
        <f>IF(B71="","",ROUNDUP(MONTH(B71)/3,0))</f>
        <v/>
      </c>
    </row>
    <row r="72">
      <c r="A72" s="17" t="n">
        <v>68</v>
      </c>
      <c r="B72" s="17" t="n"/>
      <c r="C72" s="17" t="n"/>
      <c r="D72" s="17" t="n"/>
      <c r="E72" s="17" t="n"/>
      <c r="F72" s="18" t="n"/>
      <c r="G72" s="17">
        <f>IF(B72="","",ROUNDUP(MONTH(B72)/3,0))</f>
        <v/>
      </c>
    </row>
    <row r="73">
      <c r="A73" s="17" t="n">
        <v>69</v>
      </c>
      <c r="B73" s="17" t="n"/>
      <c r="C73" s="17" t="n"/>
      <c r="D73" s="17" t="n"/>
      <c r="E73" s="17" t="n"/>
      <c r="F73" s="18" t="n"/>
      <c r="G73" s="17">
        <f>IF(B73="","",ROUNDUP(MONTH(B73)/3,0))</f>
        <v/>
      </c>
    </row>
    <row r="74">
      <c r="A74" s="17" t="n">
        <v>70</v>
      </c>
      <c r="B74" s="17" t="n"/>
      <c r="C74" s="17" t="n"/>
      <c r="D74" s="17" t="n"/>
      <c r="E74" s="17" t="n"/>
      <c r="F74" s="18" t="n"/>
      <c r="G74" s="17">
        <f>IF(B74="","",ROUNDUP(MONTH(B74)/3,0))</f>
        <v/>
      </c>
    </row>
    <row r="75">
      <c r="A75" s="17" t="n">
        <v>71</v>
      </c>
      <c r="B75" s="17" t="n"/>
      <c r="C75" s="17" t="n"/>
      <c r="D75" s="17" t="n"/>
      <c r="E75" s="17" t="n"/>
      <c r="F75" s="18" t="n"/>
      <c r="G75" s="17">
        <f>IF(B75="","",ROUNDUP(MONTH(B75)/3,0))</f>
        <v/>
      </c>
    </row>
    <row r="76">
      <c r="A76" s="17" t="n">
        <v>72</v>
      </c>
      <c r="B76" s="17" t="n"/>
      <c r="C76" s="17" t="n"/>
      <c r="D76" s="17" t="n"/>
      <c r="E76" s="17" t="n"/>
      <c r="F76" s="18" t="n"/>
      <c r="G76" s="17">
        <f>IF(B76="","",ROUNDUP(MONTH(B76)/3,0))</f>
        <v/>
      </c>
    </row>
    <row r="77">
      <c r="A77" s="17" t="n">
        <v>73</v>
      </c>
      <c r="B77" s="17" t="n"/>
      <c r="C77" s="17" t="n"/>
      <c r="D77" s="17" t="n"/>
      <c r="E77" s="17" t="n"/>
      <c r="F77" s="18" t="n"/>
      <c r="G77" s="17">
        <f>IF(B77="","",ROUNDUP(MONTH(B77)/3,0))</f>
        <v/>
      </c>
    </row>
    <row r="78">
      <c r="A78" s="17" t="n">
        <v>74</v>
      </c>
      <c r="B78" s="17" t="n"/>
      <c r="C78" s="17" t="n"/>
      <c r="D78" s="17" t="n"/>
      <c r="E78" s="17" t="n"/>
      <c r="F78" s="18" t="n"/>
      <c r="G78" s="17">
        <f>IF(B78="","",ROUNDUP(MONTH(B78)/3,0))</f>
        <v/>
      </c>
    </row>
    <row r="79">
      <c r="A79" s="17" t="n">
        <v>75</v>
      </c>
      <c r="B79" s="17" t="n"/>
      <c r="C79" s="17" t="n"/>
      <c r="D79" s="17" t="n"/>
      <c r="E79" s="17" t="n"/>
      <c r="F79" s="18" t="n"/>
      <c r="G79" s="17">
        <f>IF(B79="","",ROUNDUP(MONTH(B79)/3,0))</f>
        <v/>
      </c>
    </row>
    <row r="80">
      <c r="A80" s="17" t="n">
        <v>76</v>
      </c>
      <c r="B80" s="17" t="n"/>
      <c r="C80" s="17" t="n"/>
      <c r="D80" s="17" t="n"/>
      <c r="E80" s="17" t="n"/>
      <c r="F80" s="18" t="n"/>
      <c r="G80" s="17">
        <f>IF(B80="","",ROUNDUP(MONTH(B80)/3,0))</f>
        <v/>
      </c>
    </row>
    <row r="81">
      <c r="A81" s="17" t="n">
        <v>77</v>
      </c>
      <c r="B81" s="17" t="n"/>
      <c r="C81" s="17" t="n"/>
      <c r="D81" s="17" t="n"/>
      <c r="E81" s="17" t="n"/>
      <c r="F81" s="18" t="n"/>
      <c r="G81" s="17">
        <f>IF(B81="","",ROUNDUP(MONTH(B81)/3,0))</f>
        <v/>
      </c>
    </row>
    <row r="82">
      <c r="A82" s="17" t="n">
        <v>78</v>
      </c>
      <c r="B82" s="17" t="n"/>
      <c r="C82" s="17" t="n"/>
      <c r="D82" s="17" t="n"/>
      <c r="E82" s="17" t="n"/>
      <c r="F82" s="18" t="n"/>
      <c r="G82" s="17">
        <f>IF(B82="","",ROUNDUP(MONTH(B82)/3,0))</f>
        <v/>
      </c>
    </row>
    <row r="83">
      <c r="A83" s="17" t="n">
        <v>79</v>
      </c>
      <c r="B83" s="17" t="n"/>
      <c r="C83" s="17" t="n"/>
      <c r="D83" s="17" t="n"/>
      <c r="E83" s="17" t="n"/>
      <c r="F83" s="18" t="n"/>
      <c r="G83" s="17">
        <f>IF(B83="","",ROUNDUP(MONTH(B83)/3,0))</f>
        <v/>
      </c>
    </row>
    <row r="84">
      <c r="A84" s="17" t="n">
        <v>80</v>
      </c>
      <c r="B84" s="17" t="n"/>
      <c r="C84" s="17" t="n"/>
      <c r="D84" s="17" t="n"/>
      <c r="E84" s="17" t="n"/>
      <c r="F84" s="18" t="n"/>
      <c r="G84" s="17">
        <f>IF(B84="","",ROUNDUP(MONTH(B84)/3,0))</f>
        <v/>
      </c>
    </row>
    <row r="85">
      <c r="A85" s="17" t="n">
        <v>81</v>
      </c>
      <c r="B85" s="17" t="n"/>
      <c r="C85" s="17" t="n"/>
      <c r="D85" s="17" t="n"/>
      <c r="E85" s="17" t="n"/>
      <c r="F85" s="18" t="n"/>
      <c r="G85" s="17">
        <f>IF(B85="","",ROUNDUP(MONTH(B85)/3,0))</f>
        <v/>
      </c>
    </row>
    <row r="86">
      <c r="A86" s="17" t="n">
        <v>82</v>
      </c>
      <c r="B86" s="17" t="n"/>
      <c r="C86" s="17" t="n"/>
      <c r="D86" s="17" t="n"/>
      <c r="E86" s="17" t="n"/>
      <c r="F86" s="18" t="n"/>
      <c r="G86" s="17">
        <f>IF(B86="","",ROUNDUP(MONTH(B86)/3,0))</f>
        <v/>
      </c>
    </row>
    <row r="87">
      <c r="A87" s="17" t="n">
        <v>83</v>
      </c>
      <c r="B87" s="17" t="n"/>
      <c r="C87" s="17" t="n"/>
      <c r="D87" s="17" t="n"/>
      <c r="E87" s="17" t="n"/>
      <c r="F87" s="18" t="n"/>
      <c r="G87" s="17">
        <f>IF(B87="","",ROUNDUP(MONTH(B87)/3,0))</f>
        <v/>
      </c>
    </row>
    <row r="88">
      <c r="A88" s="17" t="n">
        <v>84</v>
      </c>
      <c r="B88" s="17" t="n"/>
      <c r="C88" s="17" t="n"/>
      <c r="D88" s="17" t="n"/>
      <c r="E88" s="17" t="n"/>
      <c r="F88" s="18" t="n"/>
      <c r="G88" s="17">
        <f>IF(B88="","",ROUNDUP(MONTH(B88)/3,0))</f>
        <v/>
      </c>
    </row>
    <row r="89">
      <c r="A89" s="17" t="n">
        <v>85</v>
      </c>
      <c r="B89" s="17" t="n"/>
      <c r="C89" s="17" t="n"/>
      <c r="D89" s="17" t="n"/>
      <c r="E89" s="17" t="n"/>
      <c r="F89" s="18" t="n"/>
      <c r="G89" s="17">
        <f>IF(B89="","",ROUNDUP(MONTH(B89)/3,0))</f>
        <v/>
      </c>
    </row>
    <row r="90">
      <c r="A90" s="17" t="n">
        <v>86</v>
      </c>
      <c r="B90" s="17" t="n"/>
      <c r="C90" s="17" t="n"/>
      <c r="D90" s="17" t="n"/>
      <c r="E90" s="17" t="n"/>
      <c r="F90" s="18" t="n"/>
      <c r="G90" s="17">
        <f>IF(B90="","",ROUNDUP(MONTH(B90)/3,0))</f>
        <v/>
      </c>
    </row>
    <row r="91">
      <c r="A91" s="17" t="n">
        <v>87</v>
      </c>
      <c r="B91" s="17" t="n"/>
      <c r="C91" s="17" t="n"/>
      <c r="D91" s="17" t="n"/>
      <c r="E91" s="17" t="n"/>
      <c r="F91" s="18" t="n"/>
      <c r="G91" s="17">
        <f>IF(B91="","",ROUNDUP(MONTH(B91)/3,0))</f>
        <v/>
      </c>
    </row>
    <row r="92">
      <c r="A92" s="17" t="n">
        <v>88</v>
      </c>
      <c r="B92" s="17" t="n"/>
      <c r="C92" s="17" t="n"/>
      <c r="D92" s="17" t="n"/>
      <c r="E92" s="17" t="n"/>
      <c r="F92" s="18" t="n"/>
      <c r="G92" s="17">
        <f>IF(B92="","",ROUNDUP(MONTH(B92)/3,0))</f>
        <v/>
      </c>
    </row>
    <row r="93">
      <c r="A93" s="17" t="n">
        <v>89</v>
      </c>
      <c r="B93" s="17" t="n"/>
      <c r="C93" s="17" t="n"/>
      <c r="D93" s="17" t="n"/>
      <c r="E93" s="17" t="n"/>
      <c r="F93" s="18" t="n"/>
      <c r="G93" s="17">
        <f>IF(B93="","",ROUNDUP(MONTH(B93)/3,0))</f>
        <v/>
      </c>
    </row>
    <row r="94">
      <c r="A94" s="17" t="n">
        <v>90</v>
      </c>
      <c r="B94" s="17" t="n"/>
      <c r="C94" s="17" t="n"/>
      <c r="D94" s="17" t="n"/>
      <c r="E94" s="17" t="n"/>
      <c r="F94" s="18" t="n"/>
      <c r="G94" s="17">
        <f>IF(B94="","",ROUNDUP(MONTH(B94)/3,0))</f>
        <v/>
      </c>
    </row>
    <row r="95">
      <c r="A95" s="17" t="n">
        <v>91</v>
      </c>
      <c r="B95" s="17" t="n"/>
      <c r="C95" s="17" t="n"/>
      <c r="D95" s="17" t="n"/>
      <c r="E95" s="17" t="n"/>
      <c r="F95" s="18" t="n"/>
      <c r="G95" s="17">
        <f>IF(B95="","",ROUNDUP(MONTH(B95)/3,0))</f>
        <v/>
      </c>
    </row>
    <row r="96">
      <c r="A96" s="17" t="n">
        <v>92</v>
      </c>
      <c r="B96" s="17" t="n"/>
      <c r="C96" s="17" t="n"/>
      <c r="D96" s="17" t="n"/>
      <c r="E96" s="17" t="n"/>
      <c r="F96" s="18" t="n"/>
      <c r="G96" s="17">
        <f>IF(B96="","",ROUNDUP(MONTH(B96)/3,0))</f>
        <v/>
      </c>
    </row>
    <row r="97">
      <c r="A97" s="17" t="n">
        <v>93</v>
      </c>
      <c r="B97" s="17" t="n"/>
      <c r="C97" s="17" t="n"/>
      <c r="D97" s="17" t="n"/>
      <c r="E97" s="17" t="n"/>
      <c r="F97" s="18" t="n"/>
      <c r="G97" s="17">
        <f>IF(B97="","",ROUNDUP(MONTH(B97)/3,0))</f>
        <v/>
      </c>
    </row>
    <row r="98">
      <c r="A98" s="17" t="n">
        <v>94</v>
      </c>
      <c r="B98" s="17" t="n"/>
      <c r="C98" s="17" t="n"/>
      <c r="D98" s="17" t="n"/>
      <c r="E98" s="17" t="n"/>
      <c r="F98" s="18" t="n"/>
      <c r="G98" s="17">
        <f>IF(B98="","",ROUNDUP(MONTH(B98)/3,0))</f>
        <v/>
      </c>
    </row>
    <row r="99">
      <c r="A99" s="17" t="n">
        <v>95</v>
      </c>
      <c r="B99" s="17" t="n"/>
      <c r="C99" s="17" t="n"/>
      <c r="D99" s="17" t="n"/>
      <c r="E99" s="17" t="n"/>
      <c r="F99" s="18" t="n"/>
      <c r="G99" s="17">
        <f>IF(B99="","",ROUNDUP(MONTH(B99)/3,0))</f>
        <v/>
      </c>
    </row>
    <row r="100">
      <c r="A100" s="17" t="n">
        <v>96</v>
      </c>
      <c r="B100" s="17" t="n"/>
      <c r="C100" s="17" t="n"/>
      <c r="D100" s="17" t="n"/>
      <c r="E100" s="17" t="n"/>
      <c r="F100" s="18" t="n"/>
      <c r="G100" s="17">
        <f>IF(B100="","",ROUNDUP(MONTH(B100)/3,0))</f>
        <v/>
      </c>
    </row>
    <row r="101">
      <c r="A101" s="17" t="n">
        <v>97</v>
      </c>
      <c r="B101" s="17" t="n"/>
      <c r="C101" s="17" t="n"/>
      <c r="D101" s="17" t="n"/>
      <c r="E101" s="17" t="n"/>
      <c r="F101" s="18" t="n"/>
      <c r="G101" s="17">
        <f>IF(B101="","",ROUNDUP(MONTH(B101)/3,0))</f>
        <v/>
      </c>
    </row>
    <row r="102">
      <c r="A102" s="17" t="n">
        <v>98</v>
      </c>
      <c r="B102" s="17" t="n"/>
      <c r="C102" s="17" t="n"/>
      <c r="D102" s="17" t="n"/>
      <c r="E102" s="17" t="n"/>
      <c r="F102" s="18" t="n"/>
      <c r="G102" s="17">
        <f>IF(B102="","",ROUNDUP(MONTH(B102)/3,0))</f>
        <v/>
      </c>
    </row>
    <row r="103">
      <c r="A103" s="17" t="n">
        <v>99</v>
      </c>
      <c r="B103" s="17" t="n"/>
      <c r="C103" s="17" t="n"/>
      <c r="D103" s="17" t="n"/>
      <c r="E103" s="17" t="n"/>
      <c r="F103" s="18" t="n"/>
      <c r="G103" s="17">
        <f>IF(B103="","",ROUNDUP(MONTH(B103)/3,0))</f>
        <v/>
      </c>
    </row>
    <row r="104">
      <c r="A104" s="17" t="n">
        <v>100</v>
      </c>
      <c r="B104" s="17" t="n"/>
      <c r="C104" s="17" t="n"/>
      <c r="D104" s="17" t="n"/>
      <c r="E104" s="17" t="n"/>
      <c r="F104" s="18" t="n"/>
      <c r="G104" s="17">
        <f>IF(B104="","",ROUNDUP(MONTH(B104)/3,0))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30" customWidth="1" min="4" max="4"/>
    <col width="44" customWidth="1" min="5" max="5"/>
    <col width="13" customWidth="1" min="6" max="6"/>
    <col width="9" customWidth="1" min="7" max="7"/>
    <col width="3" customWidth="1" min="8" max="8"/>
    <col width="20" customWidth="1" min="9" max="9"/>
    <col width="14" customWidth="1" min="10" max="10"/>
    <col width="13" customWidth="1" min="11" max="11"/>
    <col width="13" customWidth="1" min="12" max="12"/>
    <col width="30" customWidth="1" min="13" max="13"/>
  </cols>
  <sheetData>
    <row r="1">
      <c r="A1" s="1" t="inlineStr">
        <is>
          <t>UPROSZCZONA EWIDENCJA SPRZEDAŻY — mąż</t>
        </is>
      </c>
    </row>
    <row r="2">
      <c r="A2" s="9" t="inlineStr">
        <is>
          <t>Limit 2026: 10 813,50 zł przychodu należnego na KWARTAŁ (225% min. wynagrodzenia). Limit osobny dla każdej osoby fizycznej.</t>
        </is>
      </c>
    </row>
    <row r="4" ht="34" customHeight="1">
      <c r="A4" s="10" t="inlineStr">
        <is>
          <t>Lp.</t>
        </is>
      </c>
      <c r="B4" s="10" t="inlineStr">
        <is>
          <t>Data sprzedaży</t>
        </is>
      </c>
      <c r="C4" s="10" t="inlineStr">
        <is>
          <t>Nr rachunku</t>
        </is>
      </c>
      <c r="D4" s="10" t="inlineStr">
        <is>
          <t>Nabywca</t>
        </is>
      </c>
      <c r="E4" s="10" t="inlineStr">
        <is>
          <t>Opis (NAZWA PRODUKTU)</t>
        </is>
      </c>
      <c r="F4" s="10" t="inlineStr">
        <is>
          <t>Kwota</t>
        </is>
      </c>
      <c r="G4" s="10" t="inlineStr">
        <is>
          <t>Kwartał</t>
        </is>
      </c>
      <c r="I4" s="2" t="inlineStr">
        <is>
          <t>PODSUMOWANIE</t>
        </is>
      </c>
    </row>
    <row r="5">
      <c r="A5" s="17" t="n">
        <v>1</v>
      </c>
      <c r="B5" s="17" t="n"/>
      <c r="C5" s="17" t="n"/>
      <c r="D5" s="17" t="n"/>
      <c r="E5" s="17" t="n"/>
      <c r="F5" s="18" t="n"/>
      <c r="G5" s="17">
        <f>IF(B5="","",ROUNDUP(MONTH(B5)/3,0))</f>
        <v/>
      </c>
      <c r="I5" s="11" t="inlineStr">
        <is>
          <t>Kwartał</t>
        </is>
      </c>
      <c r="J5" s="11" t="inlineStr">
        <is>
          <t>Przychód</t>
        </is>
      </c>
      <c r="K5" s="11" t="inlineStr">
        <is>
          <t>Limit</t>
        </is>
      </c>
      <c r="L5" s="11" t="inlineStr">
        <is>
          <t>Pozostało</t>
        </is>
      </c>
      <c r="M5" s="11" t="inlineStr">
        <is>
          <t>Status</t>
        </is>
      </c>
    </row>
    <row r="6">
      <c r="A6" s="17" t="n">
        <v>2</v>
      </c>
      <c r="B6" s="17" t="n"/>
      <c r="C6" s="17" t="n"/>
      <c r="D6" s="17" t="n"/>
      <c r="E6" s="17" t="n"/>
      <c r="F6" s="18" t="n"/>
      <c r="G6" s="17">
        <f>IF(B6="","",ROUNDUP(MONTH(B6)/3,0))</f>
        <v/>
      </c>
      <c r="I6" t="inlineStr">
        <is>
          <t>Q1</t>
        </is>
      </c>
      <c r="J6" s="5">
        <f>SUMIF($G$5:$G$104,1,$F$5:$F$104)</f>
        <v/>
      </c>
      <c r="K6" s="5" t="n">
        <v>10813.5</v>
      </c>
      <c r="L6" s="5">
        <f>K6-J6</f>
        <v/>
      </c>
      <c r="M6">
        <f>IF(J6&gt;K6,"PRZEKROCZONY - CEIDG w 7 dni!",IF(J6&gt;K6*0.85,"UWAGA - blisko limitu","OK"))</f>
        <v/>
      </c>
    </row>
    <row r="7">
      <c r="A7" s="17" t="n">
        <v>3</v>
      </c>
      <c r="B7" s="17" t="n"/>
      <c r="C7" s="17" t="n"/>
      <c r="D7" s="17" t="n"/>
      <c r="E7" s="17" t="n"/>
      <c r="F7" s="18" t="n"/>
      <c r="G7" s="17">
        <f>IF(B7="","",ROUNDUP(MONTH(B7)/3,0))</f>
        <v/>
      </c>
      <c r="I7" t="inlineStr">
        <is>
          <t>Q2</t>
        </is>
      </c>
      <c r="J7" s="5">
        <f>SUMIF($G$5:$G$104,2,$F$5:$F$104)</f>
        <v/>
      </c>
      <c r="K7" s="5" t="n">
        <v>10813.5</v>
      </c>
      <c r="L7" s="5">
        <f>K7-J7</f>
        <v/>
      </c>
      <c r="M7">
        <f>IF(J7&gt;K7,"PRZEKROCZONY - CEIDG w 7 dni!",IF(J7&gt;K7*0.85,"UWAGA - blisko limitu","OK"))</f>
        <v/>
      </c>
    </row>
    <row r="8">
      <c r="A8" s="17" t="n">
        <v>4</v>
      </c>
      <c r="B8" s="17" t="n"/>
      <c r="C8" s="17" t="n"/>
      <c r="D8" s="17" t="n"/>
      <c r="E8" s="17" t="n"/>
      <c r="F8" s="18" t="n"/>
      <c r="G8" s="17">
        <f>IF(B8="","",ROUNDUP(MONTH(B8)/3,0))</f>
        <v/>
      </c>
      <c r="I8" t="inlineStr">
        <is>
          <t>Q3</t>
        </is>
      </c>
      <c r="J8" s="5">
        <f>SUMIF($G$5:$G$104,3,$F$5:$F$104)</f>
        <v/>
      </c>
      <c r="K8" s="5" t="n">
        <v>10813.5</v>
      </c>
      <c r="L8" s="5">
        <f>K8-J8</f>
        <v/>
      </c>
      <c r="M8">
        <f>IF(J8&gt;K8,"PRZEKROCZONY - CEIDG w 7 dni!",IF(J8&gt;K8*0.85,"UWAGA - blisko limitu","OK"))</f>
        <v/>
      </c>
    </row>
    <row r="9">
      <c r="A9" s="17" t="n">
        <v>5</v>
      </c>
      <c r="B9" s="17" t="n"/>
      <c r="C9" s="17" t="n"/>
      <c r="D9" s="17" t="n"/>
      <c r="E9" s="17" t="n"/>
      <c r="F9" s="18" t="n"/>
      <c r="G9" s="17">
        <f>IF(B9="","",ROUNDUP(MONTH(B9)/3,0))</f>
        <v/>
      </c>
      <c r="I9" t="inlineStr">
        <is>
          <t>Q4</t>
        </is>
      </c>
      <c r="J9" s="5">
        <f>SUMIF($G$5:$G$104,4,$F$5:$F$104)</f>
        <v/>
      </c>
      <c r="K9" s="5" t="n">
        <v>10813.5</v>
      </c>
      <c r="L9" s="5">
        <f>K9-J9</f>
        <v/>
      </c>
      <c r="M9">
        <f>IF(J9&gt;K9,"PRZEKROCZONY - CEIDG w 7 dni!",IF(J9&gt;K9*0.85,"UWAGA - blisko limitu","OK"))</f>
        <v/>
      </c>
    </row>
    <row r="10">
      <c r="A10" s="17" t="n">
        <v>6</v>
      </c>
      <c r="B10" s="17" t="n"/>
      <c r="C10" s="17" t="n"/>
      <c r="D10" s="17" t="n"/>
      <c r="E10" s="17" t="n"/>
      <c r="F10" s="18" t="n"/>
      <c r="G10" s="17">
        <f>IF(B10="","",ROUNDUP(MONTH(B10)/3,0))</f>
        <v/>
      </c>
    </row>
    <row r="11">
      <c r="A11" s="17" t="n">
        <v>7</v>
      </c>
      <c r="B11" s="17" t="n"/>
      <c r="C11" s="17" t="n"/>
      <c r="D11" s="17" t="n"/>
      <c r="E11" s="17" t="n"/>
      <c r="F11" s="18" t="n"/>
      <c r="G11" s="17">
        <f>IF(B11="","",ROUNDUP(MONTH(B11)/3,0))</f>
        <v/>
      </c>
      <c r="I11" s="11" t="inlineStr">
        <is>
          <t>RAZEM ROK</t>
        </is>
      </c>
      <c r="J11" s="19">
        <f>SUM(J6:J9)</f>
        <v/>
      </c>
    </row>
    <row r="12">
      <c r="A12" s="17" t="n">
        <v>8</v>
      </c>
      <c r="B12" s="17" t="n"/>
      <c r="C12" s="17" t="n"/>
      <c r="D12" s="17" t="n"/>
      <c r="E12" s="17" t="n"/>
      <c r="F12" s="18" t="n"/>
      <c r="G12" s="17">
        <f>IF(B12="","",ROUNDUP(MONTH(B12)/3,0))</f>
        <v/>
      </c>
    </row>
    <row r="13">
      <c r="A13" s="17" t="n">
        <v>9</v>
      </c>
      <c r="B13" s="17" t="n"/>
      <c r="C13" s="17" t="n"/>
      <c r="D13" s="17" t="n"/>
      <c r="E13" s="17" t="n"/>
      <c r="F13" s="18" t="n"/>
      <c r="G13" s="17">
        <f>IF(B13="","",ROUNDUP(MONTH(B13)/3,0))</f>
        <v/>
      </c>
      <c r="I13" s="12" t="inlineStr">
        <is>
          <t>Sprzedaż dla os. PRYWATNYCH (próg kasy fiskalnej 20 000 zł/rok):</t>
        </is>
      </c>
    </row>
    <row r="14">
      <c r="A14" s="17" t="n">
        <v>10</v>
      </c>
      <c r="B14" s="17" t="n"/>
      <c r="C14" s="17" t="n"/>
      <c r="D14" s="17" t="n"/>
      <c r="E14" s="17" t="n"/>
      <c r="F14" s="18" t="n"/>
      <c r="G14" s="17">
        <f>IF(B14="","",ROUNDUP(MONTH(B14)/3,0))</f>
        <v/>
      </c>
    </row>
    <row r="15">
      <c r="A15" s="17" t="n">
        <v>11</v>
      </c>
      <c r="B15" s="17" t="n"/>
      <c r="C15" s="17" t="n"/>
      <c r="D15" s="17" t="n"/>
      <c r="E15" s="17" t="n"/>
      <c r="F15" s="18" t="n"/>
      <c r="G15" s="17">
        <f>IF(B15="","",ROUNDUP(MONTH(B15)/3,0))</f>
        <v/>
      </c>
    </row>
    <row r="16">
      <c r="A16" s="17" t="n">
        <v>12</v>
      </c>
      <c r="B16" s="17" t="n"/>
      <c r="C16" s="17" t="n"/>
      <c r="D16" s="17" t="n"/>
      <c r="E16" s="17" t="n"/>
      <c r="F16" s="18" t="n"/>
      <c r="G16" s="17">
        <f>IF(B16="","",ROUNDUP(MONTH(B16)/3,0))</f>
        <v/>
      </c>
    </row>
    <row r="17">
      <c r="A17" s="17" t="n">
        <v>13</v>
      </c>
      <c r="B17" s="17" t="n"/>
      <c r="C17" s="17" t="n"/>
      <c r="D17" s="17" t="n"/>
      <c r="E17" s="17" t="n"/>
      <c r="F17" s="18" t="n"/>
      <c r="G17" s="17">
        <f>IF(B17="","",ROUNDUP(MONTH(B17)/3,0))</f>
        <v/>
      </c>
    </row>
    <row r="18">
      <c r="A18" s="17" t="n">
        <v>14</v>
      </c>
      <c r="B18" s="17" t="n"/>
      <c r="C18" s="17" t="n"/>
      <c r="D18" s="17" t="n"/>
      <c r="E18" s="17" t="n"/>
      <c r="F18" s="18" t="n"/>
      <c r="G18" s="17">
        <f>IF(B18="","",ROUNDUP(MONTH(B18)/3,0))</f>
        <v/>
      </c>
    </row>
    <row r="19">
      <c r="A19" s="17" t="n">
        <v>15</v>
      </c>
      <c r="B19" s="17" t="n"/>
      <c r="C19" s="17" t="n"/>
      <c r="D19" s="17" t="n"/>
      <c r="E19" s="17" t="n"/>
      <c r="F19" s="18" t="n"/>
      <c r="G19" s="17">
        <f>IF(B19="","",ROUNDUP(MONTH(B19)/3,0))</f>
        <v/>
      </c>
    </row>
    <row r="20">
      <c r="A20" s="17" t="n">
        <v>16</v>
      </c>
      <c r="B20" s="17" t="n"/>
      <c r="C20" s="17" t="n"/>
      <c r="D20" s="17" t="n"/>
      <c r="E20" s="17" t="n"/>
      <c r="F20" s="18" t="n"/>
      <c r="G20" s="17">
        <f>IF(B20="","",ROUNDUP(MONTH(B20)/3,0))</f>
        <v/>
      </c>
    </row>
    <row r="21">
      <c r="A21" s="17" t="n">
        <v>17</v>
      </c>
      <c r="B21" s="17" t="n"/>
      <c r="C21" s="17" t="n"/>
      <c r="D21" s="17" t="n"/>
      <c r="E21" s="17" t="n"/>
      <c r="F21" s="18" t="n"/>
      <c r="G21" s="17">
        <f>IF(B21="","",ROUNDUP(MONTH(B21)/3,0))</f>
        <v/>
      </c>
    </row>
    <row r="22">
      <c r="A22" s="17" t="n">
        <v>18</v>
      </c>
      <c r="B22" s="17" t="n"/>
      <c r="C22" s="17" t="n"/>
      <c r="D22" s="17" t="n"/>
      <c r="E22" s="17" t="n"/>
      <c r="F22" s="18" t="n"/>
      <c r="G22" s="17">
        <f>IF(B22="","",ROUNDUP(MONTH(B22)/3,0))</f>
        <v/>
      </c>
    </row>
    <row r="23">
      <c r="A23" s="17" t="n">
        <v>19</v>
      </c>
      <c r="B23" s="17" t="n"/>
      <c r="C23" s="17" t="n"/>
      <c r="D23" s="17" t="n"/>
      <c r="E23" s="17" t="n"/>
      <c r="F23" s="18" t="n"/>
      <c r="G23" s="17">
        <f>IF(B23="","",ROUNDUP(MONTH(B23)/3,0))</f>
        <v/>
      </c>
    </row>
    <row r="24">
      <c r="A24" s="17" t="n">
        <v>20</v>
      </c>
      <c r="B24" s="17" t="n"/>
      <c r="C24" s="17" t="n"/>
      <c r="D24" s="17" t="n"/>
      <c r="E24" s="17" t="n"/>
      <c r="F24" s="18" t="n"/>
      <c r="G24" s="17">
        <f>IF(B24="","",ROUNDUP(MONTH(B24)/3,0))</f>
        <v/>
      </c>
    </row>
    <row r="25">
      <c r="A25" s="17" t="n">
        <v>21</v>
      </c>
      <c r="B25" s="17" t="n"/>
      <c r="C25" s="17" t="n"/>
      <c r="D25" s="17" t="n"/>
      <c r="E25" s="17" t="n"/>
      <c r="F25" s="18" t="n"/>
      <c r="G25" s="17">
        <f>IF(B25="","",ROUNDUP(MONTH(B25)/3,0))</f>
        <v/>
      </c>
    </row>
    <row r="26">
      <c r="A26" s="17" t="n">
        <v>22</v>
      </c>
      <c r="B26" s="17" t="n"/>
      <c r="C26" s="17" t="n"/>
      <c r="D26" s="17" t="n"/>
      <c r="E26" s="17" t="n"/>
      <c r="F26" s="18" t="n"/>
      <c r="G26" s="17">
        <f>IF(B26="","",ROUNDUP(MONTH(B26)/3,0))</f>
        <v/>
      </c>
    </row>
    <row r="27">
      <c r="A27" s="17" t="n">
        <v>23</v>
      </c>
      <c r="B27" s="17" t="n"/>
      <c r="C27" s="17" t="n"/>
      <c r="D27" s="17" t="n"/>
      <c r="E27" s="17" t="n"/>
      <c r="F27" s="18" t="n"/>
      <c r="G27" s="17">
        <f>IF(B27="","",ROUNDUP(MONTH(B27)/3,0))</f>
        <v/>
      </c>
    </row>
    <row r="28">
      <c r="A28" s="17" t="n">
        <v>24</v>
      </c>
      <c r="B28" s="17" t="n"/>
      <c r="C28" s="17" t="n"/>
      <c r="D28" s="17" t="n"/>
      <c r="E28" s="17" t="n"/>
      <c r="F28" s="18" t="n"/>
      <c r="G28" s="17">
        <f>IF(B28="","",ROUNDUP(MONTH(B28)/3,0))</f>
        <v/>
      </c>
    </row>
    <row r="29">
      <c r="A29" s="17" t="n">
        <v>25</v>
      </c>
      <c r="B29" s="17" t="n"/>
      <c r="C29" s="17" t="n"/>
      <c r="D29" s="17" t="n"/>
      <c r="E29" s="17" t="n"/>
      <c r="F29" s="18" t="n"/>
      <c r="G29" s="17">
        <f>IF(B29="","",ROUNDUP(MONTH(B29)/3,0))</f>
        <v/>
      </c>
    </row>
    <row r="30">
      <c r="A30" s="17" t="n">
        <v>26</v>
      </c>
      <c r="B30" s="17" t="n"/>
      <c r="C30" s="17" t="n"/>
      <c r="D30" s="17" t="n"/>
      <c r="E30" s="17" t="n"/>
      <c r="F30" s="18" t="n"/>
      <c r="G30" s="17">
        <f>IF(B30="","",ROUNDUP(MONTH(B30)/3,0))</f>
        <v/>
      </c>
    </row>
    <row r="31">
      <c r="A31" s="17" t="n">
        <v>27</v>
      </c>
      <c r="B31" s="17" t="n"/>
      <c r="C31" s="17" t="n"/>
      <c r="D31" s="17" t="n"/>
      <c r="E31" s="17" t="n"/>
      <c r="F31" s="18" t="n"/>
      <c r="G31" s="17">
        <f>IF(B31="","",ROUNDUP(MONTH(B31)/3,0))</f>
        <v/>
      </c>
    </row>
    <row r="32">
      <c r="A32" s="17" t="n">
        <v>28</v>
      </c>
      <c r="B32" s="17" t="n"/>
      <c r="C32" s="17" t="n"/>
      <c r="D32" s="17" t="n"/>
      <c r="E32" s="17" t="n"/>
      <c r="F32" s="18" t="n"/>
      <c r="G32" s="17">
        <f>IF(B32="","",ROUNDUP(MONTH(B32)/3,0))</f>
        <v/>
      </c>
    </row>
    <row r="33">
      <c r="A33" s="17" t="n">
        <v>29</v>
      </c>
      <c r="B33" s="17" t="n"/>
      <c r="C33" s="17" t="n"/>
      <c r="D33" s="17" t="n"/>
      <c r="E33" s="17" t="n"/>
      <c r="F33" s="18" t="n"/>
      <c r="G33" s="17">
        <f>IF(B33="","",ROUNDUP(MONTH(B33)/3,0))</f>
        <v/>
      </c>
    </row>
    <row r="34">
      <c r="A34" s="17" t="n">
        <v>30</v>
      </c>
      <c r="B34" s="17" t="n"/>
      <c r="C34" s="17" t="n"/>
      <c r="D34" s="17" t="n"/>
      <c r="E34" s="17" t="n"/>
      <c r="F34" s="18" t="n"/>
      <c r="G34" s="17">
        <f>IF(B34="","",ROUNDUP(MONTH(B34)/3,0))</f>
        <v/>
      </c>
    </row>
    <row r="35">
      <c r="A35" s="17" t="n">
        <v>31</v>
      </c>
      <c r="B35" s="17" t="n"/>
      <c r="C35" s="17" t="n"/>
      <c r="D35" s="17" t="n"/>
      <c r="E35" s="17" t="n"/>
      <c r="F35" s="18" t="n"/>
      <c r="G35" s="17">
        <f>IF(B35="","",ROUNDUP(MONTH(B35)/3,0))</f>
        <v/>
      </c>
    </row>
    <row r="36">
      <c r="A36" s="17" t="n">
        <v>32</v>
      </c>
      <c r="B36" s="17" t="n"/>
      <c r="C36" s="17" t="n"/>
      <c r="D36" s="17" t="n"/>
      <c r="E36" s="17" t="n"/>
      <c r="F36" s="18" t="n"/>
      <c r="G36" s="17">
        <f>IF(B36="","",ROUNDUP(MONTH(B36)/3,0))</f>
        <v/>
      </c>
    </row>
    <row r="37">
      <c r="A37" s="17" t="n">
        <v>33</v>
      </c>
      <c r="B37" s="17" t="n"/>
      <c r="C37" s="17" t="n"/>
      <c r="D37" s="17" t="n"/>
      <c r="E37" s="17" t="n"/>
      <c r="F37" s="18" t="n"/>
      <c r="G37" s="17">
        <f>IF(B37="","",ROUNDUP(MONTH(B37)/3,0))</f>
        <v/>
      </c>
    </row>
    <row r="38">
      <c r="A38" s="17" t="n">
        <v>34</v>
      </c>
      <c r="B38" s="17" t="n"/>
      <c r="C38" s="17" t="n"/>
      <c r="D38" s="17" t="n"/>
      <c r="E38" s="17" t="n"/>
      <c r="F38" s="18" t="n"/>
      <c r="G38" s="17">
        <f>IF(B38="","",ROUNDUP(MONTH(B38)/3,0))</f>
        <v/>
      </c>
    </row>
    <row r="39">
      <c r="A39" s="17" t="n">
        <v>35</v>
      </c>
      <c r="B39" s="17" t="n"/>
      <c r="C39" s="17" t="n"/>
      <c r="D39" s="17" t="n"/>
      <c r="E39" s="17" t="n"/>
      <c r="F39" s="18" t="n"/>
      <c r="G39" s="17">
        <f>IF(B39="","",ROUNDUP(MONTH(B39)/3,0))</f>
        <v/>
      </c>
    </row>
    <row r="40">
      <c r="A40" s="17" t="n">
        <v>36</v>
      </c>
      <c r="B40" s="17" t="n"/>
      <c r="C40" s="17" t="n"/>
      <c r="D40" s="17" t="n"/>
      <c r="E40" s="17" t="n"/>
      <c r="F40" s="18" t="n"/>
      <c r="G40" s="17">
        <f>IF(B40="","",ROUNDUP(MONTH(B40)/3,0))</f>
        <v/>
      </c>
    </row>
    <row r="41">
      <c r="A41" s="17" t="n">
        <v>37</v>
      </c>
      <c r="B41" s="17" t="n"/>
      <c r="C41" s="17" t="n"/>
      <c r="D41" s="17" t="n"/>
      <c r="E41" s="17" t="n"/>
      <c r="F41" s="18" t="n"/>
      <c r="G41" s="17">
        <f>IF(B41="","",ROUNDUP(MONTH(B41)/3,0))</f>
        <v/>
      </c>
    </row>
    <row r="42">
      <c r="A42" s="17" t="n">
        <v>38</v>
      </c>
      <c r="B42" s="17" t="n"/>
      <c r="C42" s="17" t="n"/>
      <c r="D42" s="17" t="n"/>
      <c r="E42" s="17" t="n"/>
      <c r="F42" s="18" t="n"/>
      <c r="G42" s="17">
        <f>IF(B42="","",ROUNDUP(MONTH(B42)/3,0))</f>
        <v/>
      </c>
    </row>
    <row r="43">
      <c r="A43" s="17" t="n">
        <v>39</v>
      </c>
      <c r="B43" s="17" t="n"/>
      <c r="C43" s="17" t="n"/>
      <c r="D43" s="17" t="n"/>
      <c r="E43" s="17" t="n"/>
      <c r="F43" s="18" t="n"/>
      <c r="G43" s="17">
        <f>IF(B43="","",ROUNDUP(MONTH(B43)/3,0))</f>
        <v/>
      </c>
    </row>
    <row r="44">
      <c r="A44" s="17" t="n">
        <v>40</v>
      </c>
      <c r="B44" s="17" t="n"/>
      <c r="C44" s="17" t="n"/>
      <c r="D44" s="17" t="n"/>
      <c r="E44" s="17" t="n"/>
      <c r="F44" s="18" t="n"/>
      <c r="G44" s="17">
        <f>IF(B44="","",ROUNDUP(MONTH(B44)/3,0))</f>
        <v/>
      </c>
    </row>
    <row r="45">
      <c r="A45" s="17" t="n">
        <v>41</v>
      </c>
      <c r="B45" s="17" t="n"/>
      <c r="C45" s="17" t="n"/>
      <c r="D45" s="17" t="n"/>
      <c r="E45" s="17" t="n"/>
      <c r="F45" s="18" t="n"/>
      <c r="G45" s="17">
        <f>IF(B45="","",ROUNDUP(MONTH(B45)/3,0))</f>
        <v/>
      </c>
    </row>
    <row r="46">
      <c r="A46" s="17" t="n">
        <v>42</v>
      </c>
      <c r="B46" s="17" t="n"/>
      <c r="C46" s="17" t="n"/>
      <c r="D46" s="17" t="n"/>
      <c r="E46" s="17" t="n"/>
      <c r="F46" s="18" t="n"/>
      <c r="G46" s="17">
        <f>IF(B46="","",ROUNDUP(MONTH(B46)/3,0))</f>
        <v/>
      </c>
    </row>
    <row r="47">
      <c r="A47" s="17" t="n">
        <v>43</v>
      </c>
      <c r="B47" s="17" t="n"/>
      <c r="C47" s="17" t="n"/>
      <c r="D47" s="17" t="n"/>
      <c r="E47" s="17" t="n"/>
      <c r="F47" s="18" t="n"/>
      <c r="G47" s="17">
        <f>IF(B47="","",ROUNDUP(MONTH(B47)/3,0))</f>
        <v/>
      </c>
    </row>
    <row r="48">
      <c r="A48" s="17" t="n">
        <v>44</v>
      </c>
      <c r="B48" s="17" t="n"/>
      <c r="C48" s="17" t="n"/>
      <c r="D48" s="17" t="n"/>
      <c r="E48" s="17" t="n"/>
      <c r="F48" s="18" t="n"/>
      <c r="G48" s="17">
        <f>IF(B48="","",ROUNDUP(MONTH(B48)/3,0))</f>
        <v/>
      </c>
    </row>
    <row r="49">
      <c r="A49" s="17" t="n">
        <v>45</v>
      </c>
      <c r="B49" s="17" t="n"/>
      <c r="C49" s="17" t="n"/>
      <c r="D49" s="17" t="n"/>
      <c r="E49" s="17" t="n"/>
      <c r="F49" s="18" t="n"/>
      <c r="G49" s="17">
        <f>IF(B49="","",ROUNDUP(MONTH(B49)/3,0))</f>
        <v/>
      </c>
    </row>
    <row r="50">
      <c r="A50" s="17" t="n">
        <v>46</v>
      </c>
      <c r="B50" s="17" t="n"/>
      <c r="C50" s="17" t="n"/>
      <c r="D50" s="17" t="n"/>
      <c r="E50" s="17" t="n"/>
      <c r="F50" s="18" t="n"/>
      <c r="G50" s="17">
        <f>IF(B50="","",ROUNDUP(MONTH(B50)/3,0))</f>
        <v/>
      </c>
    </row>
    <row r="51">
      <c r="A51" s="17" t="n">
        <v>47</v>
      </c>
      <c r="B51" s="17" t="n"/>
      <c r="C51" s="17" t="n"/>
      <c r="D51" s="17" t="n"/>
      <c r="E51" s="17" t="n"/>
      <c r="F51" s="18" t="n"/>
      <c r="G51" s="17">
        <f>IF(B51="","",ROUNDUP(MONTH(B51)/3,0))</f>
        <v/>
      </c>
    </row>
    <row r="52">
      <c r="A52" s="17" t="n">
        <v>48</v>
      </c>
      <c r="B52" s="17" t="n"/>
      <c r="C52" s="17" t="n"/>
      <c r="D52" s="17" t="n"/>
      <c r="E52" s="17" t="n"/>
      <c r="F52" s="18" t="n"/>
      <c r="G52" s="17">
        <f>IF(B52="","",ROUNDUP(MONTH(B52)/3,0))</f>
        <v/>
      </c>
    </row>
    <row r="53">
      <c r="A53" s="17" t="n">
        <v>49</v>
      </c>
      <c r="B53" s="17" t="n"/>
      <c r="C53" s="17" t="n"/>
      <c r="D53" s="17" t="n"/>
      <c r="E53" s="17" t="n"/>
      <c r="F53" s="18" t="n"/>
      <c r="G53" s="17">
        <f>IF(B53="","",ROUNDUP(MONTH(B53)/3,0))</f>
        <v/>
      </c>
    </row>
    <row r="54">
      <c r="A54" s="17" t="n">
        <v>50</v>
      </c>
      <c r="B54" s="17" t="n"/>
      <c r="C54" s="17" t="n"/>
      <c r="D54" s="17" t="n"/>
      <c r="E54" s="17" t="n"/>
      <c r="F54" s="18" t="n"/>
      <c r="G54" s="17">
        <f>IF(B54="","",ROUNDUP(MONTH(B54)/3,0))</f>
        <v/>
      </c>
    </row>
    <row r="55">
      <c r="A55" s="17" t="n">
        <v>51</v>
      </c>
      <c r="B55" s="17" t="n"/>
      <c r="C55" s="17" t="n"/>
      <c r="D55" s="17" t="n"/>
      <c r="E55" s="17" t="n"/>
      <c r="F55" s="18" t="n"/>
      <c r="G55" s="17">
        <f>IF(B55="","",ROUNDUP(MONTH(B55)/3,0))</f>
        <v/>
      </c>
    </row>
    <row r="56">
      <c r="A56" s="17" t="n">
        <v>52</v>
      </c>
      <c r="B56" s="17" t="n"/>
      <c r="C56" s="17" t="n"/>
      <c r="D56" s="17" t="n"/>
      <c r="E56" s="17" t="n"/>
      <c r="F56" s="18" t="n"/>
      <c r="G56" s="17">
        <f>IF(B56="","",ROUNDUP(MONTH(B56)/3,0))</f>
        <v/>
      </c>
    </row>
    <row r="57">
      <c r="A57" s="17" t="n">
        <v>53</v>
      </c>
      <c r="B57" s="17" t="n"/>
      <c r="C57" s="17" t="n"/>
      <c r="D57" s="17" t="n"/>
      <c r="E57" s="17" t="n"/>
      <c r="F57" s="18" t="n"/>
      <c r="G57" s="17">
        <f>IF(B57="","",ROUNDUP(MONTH(B57)/3,0))</f>
        <v/>
      </c>
    </row>
    <row r="58">
      <c r="A58" s="17" t="n">
        <v>54</v>
      </c>
      <c r="B58" s="17" t="n"/>
      <c r="C58" s="17" t="n"/>
      <c r="D58" s="17" t="n"/>
      <c r="E58" s="17" t="n"/>
      <c r="F58" s="18" t="n"/>
      <c r="G58" s="17">
        <f>IF(B58="","",ROUNDUP(MONTH(B58)/3,0))</f>
        <v/>
      </c>
    </row>
    <row r="59">
      <c r="A59" s="17" t="n">
        <v>55</v>
      </c>
      <c r="B59" s="17" t="n"/>
      <c r="C59" s="17" t="n"/>
      <c r="D59" s="17" t="n"/>
      <c r="E59" s="17" t="n"/>
      <c r="F59" s="18" t="n"/>
      <c r="G59" s="17">
        <f>IF(B59="","",ROUNDUP(MONTH(B59)/3,0))</f>
        <v/>
      </c>
    </row>
    <row r="60">
      <c r="A60" s="17" t="n">
        <v>56</v>
      </c>
      <c r="B60" s="17" t="n"/>
      <c r="C60" s="17" t="n"/>
      <c r="D60" s="17" t="n"/>
      <c r="E60" s="17" t="n"/>
      <c r="F60" s="18" t="n"/>
      <c r="G60" s="17">
        <f>IF(B60="","",ROUNDUP(MONTH(B60)/3,0))</f>
        <v/>
      </c>
    </row>
    <row r="61">
      <c r="A61" s="17" t="n">
        <v>57</v>
      </c>
      <c r="B61" s="17" t="n"/>
      <c r="C61" s="17" t="n"/>
      <c r="D61" s="17" t="n"/>
      <c r="E61" s="17" t="n"/>
      <c r="F61" s="18" t="n"/>
      <c r="G61" s="17">
        <f>IF(B61="","",ROUNDUP(MONTH(B61)/3,0))</f>
        <v/>
      </c>
    </row>
    <row r="62">
      <c r="A62" s="17" t="n">
        <v>58</v>
      </c>
      <c r="B62" s="17" t="n"/>
      <c r="C62" s="17" t="n"/>
      <c r="D62" s="17" t="n"/>
      <c r="E62" s="17" t="n"/>
      <c r="F62" s="18" t="n"/>
      <c r="G62" s="17">
        <f>IF(B62="","",ROUNDUP(MONTH(B62)/3,0))</f>
        <v/>
      </c>
    </row>
    <row r="63">
      <c r="A63" s="17" t="n">
        <v>59</v>
      </c>
      <c r="B63" s="17" t="n"/>
      <c r="C63" s="17" t="n"/>
      <c r="D63" s="17" t="n"/>
      <c r="E63" s="17" t="n"/>
      <c r="F63" s="18" t="n"/>
      <c r="G63" s="17">
        <f>IF(B63="","",ROUNDUP(MONTH(B63)/3,0))</f>
        <v/>
      </c>
    </row>
    <row r="64">
      <c r="A64" s="17" t="n">
        <v>60</v>
      </c>
      <c r="B64" s="17" t="n"/>
      <c r="C64" s="17" t="n"/>
      <c r="D64" s="17" t="n"/>
      <c r="E64" s="17" t="n"/>
      <c r="F64" s="18" t="n"/>
      <c r="G64" s="17">
        <f>IF(B64="","",ROUNDUP(MONTH(B64)/3,0))</f>
        <v/>
      </c>
    </row>
    <row r="65">
      <c r="A65" s="17" t="n">
        <v>61</v>
      </c>
      <c r="B65" s="17" t="n"/>
      <c r="C65" s="17" t="n"/>
      <c r="D65" s="17" t="n"/>
      <c r="E65" s="17" t="n"/>
      <c r="F65" s="18" t="n"/>
      <c r="G65" s="17">
        <f>IF(B65="","",ROUNDUP(MONTH(B65)/3,0))</f>
        <v/>
      </c>
    </row>
    <row r="66">
      <c r="A66" s="17" t="n">
        <v>62</v>
      </c>
      <c r="B66" s="17" t="n"/>
      <c r="C66" s="17" t="n"/>
      <c r="D66" s="17" t="n"/>
      <c r="E66" s="17" t="n"/>
      <c r="F66" s="18" t="n"/>
      <c r="G66" s="17">
        <f>IF(B66="","",ROUNDUP(MONTH(B66)/3,0))</f>
        <v/>
      </c>
    </row>
    <row r="67">
      <c r="A67" s="17" t="n">
        <v>63</v>
      </c>
      <c r="B67" s="17" t="n"/>
      <c r="C67" s="17" t="n"/>
      <c r="D67" s="17" t="n"/>
      <c r="E67" s="17" t="n"/>
      <c r="F67" s="18" t="n"/>
      <c r="G67" s="17">
        <f>IF(B67="","",ROUNDUP(MONTH(B67)/3,0))</f>
        <v/>
      </c>
    </row>
    <row r="68">
      <c r="A68" s="17" t="n">
        <v>64</v>
      </c>
      <c r="B68" s="17" t="n"/>
      <c r="C68" s="17" t="n"/>
      <c r="D68" s="17" t="n"/>
      <c r="E68" s="17" t="n"/>
      <c r="F68" s="18" t="n"/>
      <c r="G68" s="17">
        <f>IF(B68="","",ROUNDUP(MONTH(B68)/3,0))</f>
        <v/>
      </c>
    </row>
    <row r="69">
      <c r="A69" s="17" t="n">
        <v>65</v>
      </c>
      <c r="B69" s="17" t="n"/>
      <c r="C69" s="17" t="n"/>
      <c r="D69" s="17" t="n"/>
      <c r="E69" s="17" t="n"/>
      <c r="F69" s="18" t="n"/>
      <c r="G69" s="17">
        <f>IF(B69="","",ROUNDUP(MONTH(B69)/3,0))</f>
        <v/>
      </c>
    </row>
    <row r="70">
      <c r="A70" s="17" t="n">
        <v>66</v>
      </c>
      <c r="B70" s="17" t="n"/>
      <c r="C70" s="17" t="n"/>
      <c r="D70" s="17" t="n"/>
      <c r="E70" s="17" t="n"/>
      <c r="F70" s="18" t="n"/>
      <c r="G70" s="17">
        <f>IF(B70="","",ROUNDUP(MONTH(B70)/3,0))</f>
        <v/>
      </c>
    </row>
    <row r="71">
      <c r="A71" s="17" t="n">
        <v>67</v>
      </c>
      <c r="B71" s="17" t="n"/>
      <c r="C71" s="17" t="n"/>
      <c r="D71" s="17" t="n"/>
      <c r="E71" s="17" t="n"/>
      <c r="F71" s="18" t="n"/>
      <c r="G71" s="17">
        <f>IF(B71="","",ROUNDUP(MONTH(B71)/3,0))</f>
        <v/>
      </c>
    </row>
    <row r="72">
      <c r="A72" s="17" t="n">
        <v>68</v>
      </c>
      <c r="B72" s="17" t="n"/>
      <c r="C72" s="17" t="n"/>
      <c r="D72" s="17" t="n"/>
      <c r="E72" s="17" t="n"/>
      <c r="F72" s="18" t="n"/>
      <c r="G72" s="17">
        <f>IF(B72="","",ROUNDUP(MONTH(B72)/3,0))</f>
        <v/>
      </c>
    </row>
    <row r="73">
      <c r="A73" s="17" t="n">
        <v>69</v>
      </c>
      <c r="B73" s="17" t="n"/>
      <c r="C73" s="17" t="n"/>
      <c r="D73" s="17" t="n"/>
      <c r="E73" s="17" t="n"/>
      <c r="F73" s="18" t="n"/>
      <c r="G73" s="17">
        <f>IF(B73="","",ROUNDUP(MONTH(B73)/3,0))</f>
        <v/>
      </c>
    </row>
    <row r="74">
      <c r="A74" s="17" t="n">
        <v>70</v>
      </c>
      <c r="B74" s="17" t="n"/>
      <c r="C74" s="17" t="n"/>
      <c r="D74" s="17" t="n"/>
      <c r="E74" s="17" t="n"/>
      <c r="F74" s="18" t="n"/>
      <c r="G74" s="17">
        <f>IF(B74="","",ROUNDUP(MONTH(B74)/3,0))</f>
        <v/>
      </c>
    </row>
    <row r="75">
      <c r="A75" s="17" t="n">
        <v>71</v>
      </c>
      <c r="B75" s="17" t="n"/>
      <c r="C75" s="17" t="n"/>
      <c r="D75" s="17" t="n"/>
      <c r="E75" s="17" t="n"/>
      <c r="F75" s="18" t="n"/>
      <c r="G75" s="17">
        <f>IF(B75="","",ROUNDUP(MONTH(B75)/3,0))</f>
        <v/>
      </c>
    </row>
    <row r="76">
      <c r="A76" s="17" t="n">
        <v>72</v>
      </c>
      <c r="B76" s="17" t="n"/>
      <c r="C76" s="17" t="n"/>
      <c r="D76" s="17" t="n"/>
      <c r="E76" s="17" t="n"/>
      <c r="F76" s="18" t="n"/>
      <c r="G76" s="17">
        <f>IF(B76="","",ROUNDUP(MONTH(B76)/3,0))</f>
        <v/>
      </c>
    </row>
    <row r="77">
      <c r="A77" s="17" t="n">
        <v>73</v>
      </c>
      <c r="B77" s="17" t="n"/>
      <c r="C77" s="17" t="n"/>
      <c r="D77" s="17" t="n"/>
      <c r="E77" s="17" t="n"/>
      <c r="F77" s="18" t="n"/>
      <c r="G77" s="17">
        <f>IF(B77="","",ROUNDUP(MONTH(B77)/3,0))</f>
        <v/>
      </c>
    </row>
    <row r="78">
      <c r="A78" s="17" t="n">
        <v>74</v>
      </c>
      <c r="B78" s="17" t="n"/>
      <c r="C78" s="17" t="n"/>
      <c r="D78" s="17" t="n"/>
      <c r="E78" s="17" t="n"/>
      <c r="F78" s="18" t="n"/>
      <c r="G78" s="17">
        <f>IF(B78="","",ROUNDUP(MONTH(B78)/3,0))</f>
        <v/>
      </c>
    </row>
    <row r="79">
      <c r="A79" s="17" t="n">
        <v>75</v>
      </c>
      <c r="B79" s="17" t="n"/>
      <c r="C79" s="17" t="n"/>
      <c r="D79" s="17" t="n"/>
      <c r="E79" s="17" t="n"/>
      <c r="F79" s="18" t="n"/>
      <c r="G79" s="17">
        <f>IF(B79="","",ROUNDUP(MONTH(B79)/3,0))</f>
        <v/>
      </c>
    </row>
    <row r="80">
      <c r="A80" s="17" t="n">
        <v>76</v>
      </c>
      <c r="B80" s="17" t="n"/>
      <c r="C80" s="17" t="n"/>
      <c r="D80" s="17" t="n"/>
      <c r="E80" s="17" t="n"/>
      <c r="F80" s="18" t="n"/>
      <c r="G80" s="17">
        <f>IF(B80="","",ROUNDUP(MONTH(B80)/3,0))</f>
        <v/>
      </c>
    </row>
    <row r="81">
      <c r="A81" s="17" t="n">
        <v>77</v>
      </c>
      <c r="B81" s="17" t="n"/>
      <c r="C81" s="17" t="n"/>
      <c r="D81" s="17" t="n"/>
      <c r="E81" s="17" t="n"/>
      <c r="F81" s="18" t="n"/>
      <c r="G81" s="17">
        <f>IF(B81="","",ROUNDUP(MONTH(B81)/3,0))</f>
        <v/>
      </c>
    </row>
    <row r="82">
      <c r="A82" s="17" t="n">
        <v>78</v>
      </c>
      <c r="B82" s="17" t="n"/>
      <c r="C82" s="17" t="n"/>
      <c r="D82" s="17" t="n"/>
      <c r="E82" s="17" t="n"/>
      <c r="F82" s="18" t="n"/>
      <c r="G82" s="17">
        <f>IF(B82="","",ROUNDUP(MONTH(B82)/3,0))</f>
        <v/>
      </c>
    </row>
    <row r="83">
      <c r="A83" s="17" t="n">
        <v>79</v>
      </c>
      <c r="B83" s="17" t="n"/>
      <c r="C83" s="17" t="n"/>
      <c r="D83" s="17" t="n"/>
      <c r="E83" s="17" t="n"/>
      <c r="F83" s="18" t="n"/>
      <c r="G83" s="17">
        <f>IF(B83="","",ROUNDUP(MONTH(B83)/3,0))</f>
        <v/>
      </c>
    </row>
    <row r="84">
      <c r="A84" s="17" t="n">
        <v>80</v>
      </c>
      <c r="B84" s="17" t="n"/>
      <c r="C84" s="17" t="n"/>
      <c r="D84" s="17" t="n"/>
      <c r="E84" s="17" t="n"/>
      <c r="F84" s="18" t="n"/>
      <c r="G84" s="17">
        <f>IF(B84="","",ROUNDUP(MONTH(B84)/3,0))</f>
        <v/>
      </c>
    </row>
    <row r="85">
      <c r="A85" s="17" t="n">
        <v>81</v>
      </c>
      <c r="B85" s="17" t="n"/>
      <c r="C85" s="17" t="n"/>
      <c r="D85" s="17" t="n"/>
      <c r="E85" s="17" t="n"/>
      <c r="F85" s="18" t="n"/>
      <c r="G85" s="17">
        <f>IF(B85="","",ROUNDUP(MONTH(B85)/3,0))</f>
        <v/>
      </c>
    </row>
    <row r="86">
      <c r="A86" s="17" t="n">
        <v>82</v>
      </c>
      <c r="B86" s="17" t="n"/>
      <c r="C86" s="17" t="n"/>
      <c r="D86" s="17" t="n"/>
      <c r="E86" s="17" t="n"/>
      <c r="F86" s="18" t="n"/>
      <c r="G86" s="17">
        <f>IF(B86="","",ROUNDUP(MONTH(B86)/3,0))</f>
        <v/>
      </c>
    </row>
    <row r="87">
      <c r="A87" s="17" t="n">
        <v>83</v>
      </c>
      <c r="B87" s="17" t="n"/>
      <c r="C87" s="17" t="n"/>
      <c r="D87" s="17" t="n"/>
      <c r="E87" s="17" t="n"/>
      <c r="F87" s="18" t="n"/>
      <c r="G87" s="17">
        <f>IF(B87="","",ROUNDUP(MONTH(B87)/3,0))</f>
        <v/>
      </c>
    </row>
    <row r="88">
      <c r="A88" s="17" t="n">
        <v>84</v>
      </c>
      <c r="B88" s="17" t="n"/>
      <c r="C88" s="17" t="n"/>
      <c r="D88" s="17" t="n"/>
      <c r="E88" s="17" t="n"/>
      <c r="F88" s="18" t="n"/>
      <c r="G88" s="17">
        <f>IF(B88="","",ROUNDUP(MONTH(B88)/3,0))</f>
        <v/>
      </c>
    </row>
    <row r="89">
      <c r="A89" s="17" t="n">
        <v>85</v>
      </c>
      <c r="B89" s="17" t="n"/>
      <c r="C89" s="17" t="n"/>
      <c r="D89" s="17" t="n"/>
      <c r="E89" s="17" t="n"/>
      <c r="F89" s="18" t="n"/>
      <c r="G89" s="17">
        <f>IF(B89="","",ROUNDUP(MONTH(B89)/3,0))</f>
        <v/>
      </c>
    </row>
    <row r="90">
      <c r="A90" s="17" t="n">
        <v>86</v>
      </c>
      <c r="B90" s="17" t="n"/>
      <c r="C90" s="17" t="n"/>
      <c r="D90" s="17" t="n"/>
      <c r="E90" s="17" t="n"/>
      <c r="F90" s="18" t="n"/>
      <c r="G90" s="17">
        <f>IF(B90="","",ROUNDUP(MONTH(B90)/3,0))</f>
        <v/>
      </c>
    </row>
    <row r="91">
      <c r="A91" s="17" t="n">
        <v>87</v>
      </c>
      <c r="B91" s="17" t="n"/>
      <c r="C91" s="17" t="n"/>
      <c r="D91" s="17" t="n"/>
      <c r="E91" s="17" t="n"/>
      <c r="F91" s="18" t="n"/>
      <c r="G91" s="17">
        <f>IF(B91="","",ROUNDUP(MONTH(B91)/3,0))</f>
        <v/>
      </c>
    </row>
    <row r="92">
      <c r="A92" s="17" t="n">
        <v>88</v>
      </c>
      <c r="B92" s="17" t="n"/>
      <c r="C92" s="17" t="n"/>
      <c r="D92" s="17" t="n"/>
      <c r="E92" s="17" t="n"/>
      <c r="F92" s="18" t="n"/>
      <c r="G92" s="17">
        <f>IF(B92="","",ROUNDUP(MONTH(B92)/3,0))</f>
        <v/>
      </c>
    </row>
    <row r="93">
      <c r="A93" s="17" t="n">
        <v>89</v>
      </c>
      <c r="B93" s="17" t="n"/>
      <c r="C93" s="17" t="n"/>
      <c r="D93" s="17" t="n"/>
      <c r="E93" s="17" t="n"/>
      <c r="F93" s="18" t="n"/>
      <c r="G93" s="17">
        <f>IF(B93="","",ROUNDUP(MONTH(B93)/3,0))</f>
        <v/>
      </c>
    </row>
    <row r="94">
      <c r="A94" s="17" t="n">
        <v>90</v>
      </c>
      <c r="B94" s="17" t="n"/>
      <c r="C94" s="17" t="n"/>
      <c r="D94" s="17" t="n"/>
      <c r="E94" s="17" t="n"/>
      <c r="F94" s="18" t="n"/>
      <c r="G94" s="17">
        <f>IF(B94="","",ROUNDUP(MONTH(B94)/3,0))</f>
        <v/>
      </c>
    </row>
    <row r="95">
      <c r="A95" s="17" t="n">
        <v>91</v>
      </c>
      <c r="B95" s="17" t="n"/>
      <c r="C95" s="17" t="n"/>
      <c r="D95" s="17" t="n"/>
      <c r="E95" s="17" t="n"/>
      <c r="F95" s="18" t="n"/>
      <c r="G95" s="17">
        <f>IF(B95="","",ROUNDUP(MONTH(B95)/3,0))</f>
        <v/>
      </c>
    </row>
    <row r="96">
      <c r="A96" s="17" t="n">
        <v>92</v>
      </c>
      <c r="B96" s="17" t="n"/>
      <c r="C96" s="17" t="n"/>
      <c r="D96" s="17" t="n"/>
      <c r="E96" s="17" t="n"/>
      <c r="F96" s="18" t="n"/>
      <c r="G96" s="17">
        <f>IF(B96="","",ROUNDUP(MONTH(B96)/3,0))</f>
        <v/>
      </c>
    </row>
    <row r="97">
      <c r="A97" s="17" t="n">
        <v>93</v>
      </c>
      <c r="B97" s="17" t="n"/>
      <c r="C97" s="17" t="n"/>
      <c r="D97" s="17" t="n"/>
      <c r="E97" s="17" t="n"/>
      <c r="F97" s="18" t="n"/>
      <c r="G97" s="17">
        <f>IF(B97="","",ROUNDUP(MONTH(B97)/3,0))</f>
        <v/>
      </c>
    </row>
    <row r="98">
      <c r="A98" s="17" t="n">
        <v>94</v>
      </c>
      <c r="B98" s="17" t="n"/>
      <c r="C98" s="17" t="n"/>
      <c r="D98" s="17" t="n"/>
      <c r="E98" s="17" t="n"/>
      <c r="F98" s="18" t="n"/>
      <c r="G98" s="17">
        <f>IF(B98="","",ROUNDUP(MONTH(B98)/3,0))</f>
        <v/>
      </c>
    </row>
    <row r="99">
      <c r="A99" s="17" t="n">
        <v>95</v>
      </c>
      <c r="B99" s="17" t="n"/>
      <c r="C99" s="17" t="n"/>
      <c r="D99" s="17" t="n"/>
      <c r="E99" s="17" t="n"/>
      <c r="F99" s="18" t="n"/>
      <c r="G99" s="17">
        <f>IF(B99="","",ROUNDUP(MONTH(B99)/3,0))</f>
        <v/>
      </c>
    </row>
    <row r="100">
      <c r="A100" s="17" t="n">
        <v>96</v>
      </c>
      <c r="B100" s="17" t="n"/>
      <c r="C100" s="17" t="n"/>
      <c r="D100" s="17" t="n"/>
      <c r="E100" s="17" t="n"/>
      <c r="F100" s="18" t="n"/>
      <c r="G100" s="17">
        <f>IF(B100="","",ROUNDUP(MONTH(B100)/3,0))</f>
        <v/>
      </c>
    </row>
    <row r="101">
      <c r="A101" s="17" t="n">
        <v>97</v>
      </c>
      <c r="B101" s="17" t="n"/>
      <c r="C101" s="17" t="n"/>
      <c r="D101" s="17" t="n"/>
      <c r="E101" s="17" t="n"/>
      <c r="F101" s="18" t="n"/>
      <c r="G101" s="17">
        <f>IF(B101="","",ROUNDUP(MONTH(B101)/3,0))</f>
        <v/>
      </c>
    </row>
    <row r="102">
      <c r="A102" s="17" t="n">
        <v>98</v>
      </c>
      <c r="B102" s="17" t="n"/>
      <c r="C102" s="17" t="n"/>
      <c r="D102" s="17" t="n"/>
      <c r="E102" s="17" t="n"/>
      <c r="F102" s="18" t="n"/>
      <c r="G102" s="17">
        <f>IF(B102="","",ROUNDUP(MONTH(B102)/3,0))</f>
        <v/>
      </c>
    </row>
    <row r="103">
      <c r="A103" s="17" t="n">
        <v>99</v>
      </c>
      <c r="B103" s="17" t="n"/>
      <c r="C103" s="17" t="n"/>
      <c r="D103" s="17" t="n"/>
      <c r="E103" s="17" t="n"/>
      <c r="F103" s="18" t="n"/>
      <c r="G103" s="17">
        <f>IF(B103="","",ROUNDUP(MONTH(B103)/3,0))</f>
        <v/>
      </c>
    </row>
    <row r="104">
      <c r="A104" s="17" t="n">
        <v>100</v>
      </c>
      <c r="B104" s="17" t="n"/>
      <c r="C104" s="17" t="n"/>
      <c r="D104" s="17" t="n"/>
      <c r="E104" s="17" t="n"/>
      <c r="F104" s="18" t="n"/>
      <c r="G104" s="17">
        <f>IF(B104="","",ROUNDUP(MONTH(B104)/3,0))</f>
        <v/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2026-08-26T06:48:31Z</dcterms:created>
  <dcterms:modified xmlns:dcterms="http://purl.org/dc/terms/" xmlns:xsi="http://www.w3.org/2001/XMLSchema-instance" xsi:type="dcterms:W3CDTF">2026-08-26T06:48:31Z</dcterms:modified>
</cp:coreProperties>
</file>